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Mario Sánchez\Desktop\CALCULADORAS\"/>
    </mc:Choice>
  </mc:AlternateContent>
  <bookViews>
    <workbookView xWindow="0" yWindow="0" windowWidth="20490" windowHeight="7320"/>
  </bookViews>
  <sheets>
    <sheet name="Cálculadora" sheetId="1" r:id="rId1"/>
    <sheet name="TablaISR" sheetId="2" state="hidden" r:id="rId2"/>
  </sheets>
  <definedNames>
    <definedName name="TAB.ISR">TablaISR!$B$2:$E$13</definedName>
    <definedName name="TAB.SUBSIDIO">TablaISR!$G$2:$I$13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W14" i="2" l="1"/>
  <c r="V14" i="2"/>
  <c r="U14" i="2"/>
  <c r="U13" i="2"/>
  <c r="C22" i="1" l="1"/>
  <c r="C23" i="1" s="1"/>
  <c r="E29" i="1" s="1"/>
  <c r="C28" i="1" l="1"/>
  <c r="C31" i="1" s="1"/>
  <c r="E28" i="1" s="1"/>
  <c r="E31" i="1" s="1"/>
  <c r="E35" i="1" s="1"/>
</calcChain>
</file>

<file path=xl/sharedStrings.xml><?xml version="1.0" encoding="utf-8"?>
<sst xmlns="http://schemas.openxmlformats.org/spreadsheetml/2006/main" count="90" uniqueCount="81">
  <si>
    <t>CALCULADORA DE SUELDOS NETOS, BRUTOS Y COSTO DEL EMPLEADO 2019</t>
  </si>
  <si>
    <t>Nombre</t>
  </si>
  <si>
    <t xml:space="preserve">Fecha de Ingreso </t>
  </si>
  <si>
    <t xml:space="preserve">Fecha Actual </t>
  </si>
  <si>
    <t>Prestaciones minimas de ley</t>
  </si>
  <si>
    <t>Si</t>
  </si>
  <si>
    <t xml:space="preserve">Días Aguinaldo </t>
  </si>
  <si>
    <t>Periodo de pago de nómina</t>
  </si>
  <si>
    <t>Mensual</t>
  </si>
  <si>
    <t>Días de cálculo</t>
  </si>
  <si>
    <t>Días de Vacaciones</t>
  </si>
  <si>
    <t>UMA</t>
  </si>
  <si>
    <t>SD</t>
  </si>
  <si>
    <t>% De Prima de Vacacional</t>
  </si>
  <si>
    <t>SDI</t>
  </si>
  <si>
    <t>PRIMA DE RIESGO</t>
  </si>
  <si>
    <t>Porcentaje de Impuesto sobre nómina</t>
  </si>
  <si>
    <t>INGRESO MENSUAL BRUTO</t>
  </si>
  <si>
    <t>PERCEPCIONES DEL TRABAJADOR</t>
  </si>
  <si>
    <t>DEDUCCIONES AL TRABAJADOR</t>
  </si>
  <si>
    <t xml:space="preserve">ISR Retenido </t>
  </si>
  <si>
    <t>Cuotas IMSS Obrero</t>
  </si>
  <si>
    <t>Total Percepciones</t>
  </si>
  <si>
    <t>Deducciones Mensuales</t>
  </si>
  <si>
    <t>Sueldo Neto del Trabajador</t>
  </si>
  <si>
    <t>Sueldo bruto</t>
  </si>
  <si>
    <t>Propiedad de Grupo Lamhi</t>
  </si>
  <si>
    <t>1.- Generales del colaborador</t>
  </si>
  <si>
    <t>2.- Prestaciones de ley</t>
  </si>
  <si>
    <t>Captura sueldo neto a piramidar</t>
  </si>
  <si>
    <t>Otras percepciones gravadas</t>
  </si>
  <si>
    <t>IMPORTE</t>
  </si>
  <si>
    <t>Límite inferior</t>
  </si>
  <si>
    <t>Límite superior</t>
  </si>
  <si>
    <t>Cuota fija</t>
  </si>
  <si>
    <t>Por ciento para aplicarse sobre</t>
  </si>
  <si>
    <t>En adelante</t>
  </si>
  <si>
    <t>Para Ingresos de</t>
  </si>
  <si>
    <t>Hasta Ingresos de</t>
  </si>
  <si>
    <t>Cantidad de subsidio para el empleo mensual</t>
  </si>
  <si>
    <t>3.- Cálculo de sueldo neto</t>
  </si>
  <si>
    <t>Síguenos en nuestras redes sociales y solicita las siguientes calculadora:</t>
  </si>
  <si>
    <t>Calculadora IMSS para el RÉGIMEN DE INCORPORACIÓN</t>
  </si>
  <si>
    <t>Sueldos y salarios 2020</t>
  </si>
  <si>
    <t>Finiquitos y liquidaciones 2020</t>
  </si>
  <si>
    <t>Procedimeintos IMSS, SIROC, SATIC, ESCRITORIO VIRTUAL, IDSE Y NÓMINAS.</t>
  </si>
  <si>
    <t>Seguro y concepto</t>
  </si>
  <si>
    <t>Prestaciones</t>
  </si>
  <si>
    <t>Cuotas</t>
  </si>
  <si>
    <t>Base salarial</t>
  </si>
  <si>
    <t>Patrón</t>
  </si>
  <si>
    <t>Trabajador</t>
  </si>
  <si>
    <t>Total</t>
  </si>
  <si>
    <t>Riesgos de Trabajo</t>
  </si>
  <si>
    <t>En especie y dinero</t>
  </si>
  <si>
    <t>Conforme con su siniestralidad laboral</t>
  </si>
  <si>
    <t>Prima correspondiente1</t>
  </si>
  <si>
    <t>Salario base de cotización (SBC)</t>
  </si>
  <si>
    <t>Enfermedades y Maternidad</t>
  </si>
  <si>
    <t>En especie</t>
  </si>
  <si>
    <t>UMA2</t>
  </si>
  <si>
    <t>Gastos médicos para pensionados y beneficiarios</t>
  </si>
  <si>
    <t>SBC</t>
  </si>
  <si>
    <t>En dinero</t>
  </si>
  <si>
    <t>Invalidez y Vida</t>
  </si>
  <si>
    <t>Retiro, Cesantía en Edad Avanzada y Vejez (CEAV)</t>
  </si>
  <si>
    <t>Retiro</t>
  </si>
  <si>
    <t>CEAV</t>
  </si>
  <si>
    <t>Guarderías y Prestaciones Sociales</t>
  </si>
  <si>
    <t>Infonavit</t>
  </si>
  <si>
    <t>Crédito para vivienda</t>
  </si>
  <si>
    <t>Salario base de aportación</t>
  </si>
  <si>
    <t>Notas:</t>
  </si>
  <si>
    <t>1   En enero y febrero de 2019 se considera la declarada en febrero de 2018. La prima a considerar del 1o. de marzo 2019 al 28 de febrero de 2020 se calculará según la fórmula de los artículos 72 de la LSS y 32 del Reglamento de la Ley del Seguro Social en Materia de Afiliación, Clasificación de  Empresas, Recaudación y Fiscalización (RACERF), y se  presentará al IMSS, en la declaración respectiva a más tardar el último día de febrero de 2019</t>
  </si>
  <si>
    <t>2   El 27 de enero de 2016 se dio a conocer el Decreto con el que se desindexó el salario mínimo para que deje de ser utilizado como índice, unidad, base o medida de referencia para los fines ajenos a su naturaleza, sustituyéndolo por la UMA.</t>
  </si>
  <si>
    <t>El IMSS en el  Acuerdo del Consejo Técnico número 26/2017, del 25 de enero de 2017, instruyó a las Direcciones de Administración, de Incorporación y Recaudación, de Innovación y Desarrollo Tecnológico, y de Prestaciones Económicas y Sociales del Seguro Social, para que adecuaran los sistemas informáticos institucionales; los procedimientos técnico operativos y los formatos necesarios para la adopción de la UMA.</t>
  </si>
  <si>
    <t>Además, el oficio No. 6/2016-2017 del Instituto Mexicano de Contadores Públicos dirigido a sus integrantes, señala que debe entenderse que se utilizará la UMA para el cálculo de las cuotas de prestaciones en especie (fija y excedente) del Seguro de Enfermedades y Maternidad</t>
  </si>
  <si>
    <t>Cuota adicional por la diferencia del SBC y de tres veces la UMA2</t>
  </si>
  <si>
    <t>Diferencia entre el SBC y tres veces la UMA2</t>
  </si>
  <si>
    <t>Cuota fija por cada colaborador hasta por tres veces la UMA vigentes</t>
  </si>
  <si>
    <t>Factores de las cuotas y aportaciones IMSS 2019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</si>
</sst>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43" formatCode="_-* #,##0.00_-;\-* #,##0.00_-;_-* &quot;-&quot;??_-;_-@_-"/>
    <numFmt numFmtId="164" formatCode="0.0%"/>
    <numFmt numFmtId="165" formatCode="0.00000%"/>
    <numFmt numFmtId="166" formatCode="_(* #,##0.00_);_(* \(#,##0.00\);_(* &quot;-&quot;??_);_(@_)"/>
    <numFmt numFmtId="167" formatCode="0.000000"/>
  </numFmts>
  <fonts count="1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color theme="1"/>
      <name val="Century Gothic"/>
      <family val="2"/>
    </font>
    <font>
      <b/>
      <sz val="10"/>
      <color theme="0"/>
      <name val="Century Gothic"/>
      <family val="2"/>
    </font>
    <font>
      <b/>
      <sz val="10"/>
      <name val="Century Gothic"/>
      <family val="2"/>
    </font>
    <font>
      <sz val="10"/>
      <name val="Century Gothic"/>
      <family val="2"/>
    </font>
    <font>
      <sz val="10"/>
      <color theme="0"/>
      <name val="Century Gothic"/>
      <family val="2"/>
    </font>
    <font>
      <sz val="10"/>
      <color rgb="FF11A99E"/>
      <name val="Century Gothic"/>
      <family val="2"/>
    </font>
    <font>
      <b/>
      <sz val="10"/>
      <color theme="1"/>
      <name val="Century Gothic"/>
      <family val="2"/>
    </font>
    <font>
      <b/>
      <u/>
      <sz val="11"/>
      <color theme="0"/>
      <name val="Century Gothic"/>
      <family val="2"/>
    </font>
    <font>
      <b/>
      <sz val="10"/>
      <color rgb="FF008080"/>
      <name val="Century Gothic"/>
      <family val="2"/>
    </font>
    <font>
      <u/>
      <sz val="10"/>
      <color theme="0"/>
      <name val="Century Gothic"/>
      <family val="2"/>
    </font>
    <font>
      <b/>
      <u/>
      <sz val="10"/>
      <color theme="0"/>
      <name val="Century Gothic"/>
      <family val="2"/>
    </font>
    <font>
      <b/>
      <sz val="10"/>
      <color rgb="FF444444"/>
      <name val="Century Gothic"/>
      <family val="2"/>
    </font>
    <font>
      <sz val="10"/>
      <color rgb="FF444444"/>
      <name val="Century Gothic"/>
      <family val="2"/>
    </font>
    <font>
      <sz val="10"/>
      <color rgb="FF1D1C1A"/>
      <name val="Century Gothic"/>
      <family val="2"/>
    </font>
  </fonts>
  <fills count="9">
    <fill>
      <patternFill patternType="none"/>
    </fill>
    <fill>
      <patternFill patternType="gray125"/>
    </fill>
    <fill>
      <patternFill patternType="solid">
        <fgColor rgb="FF00808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rgb="FF009999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EEEEEE"/>
        <bgColor indexed="64"/>
      </patternFill>
    </fill>
  </fills>
  <borders count="34">
    <border>
      <left/>
      <right/>
      <top/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/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/>
      <bottom/>
      <diagonal/>
    </border>
    <border>
      <left style="thin">
        <color theme="4" tint="0.79998168889431442"/>
      </left>
      <right style="thin">
        <color theme="4" tint="0.79998168889431442"/>
      </right>
      <top style="thin">
        <color theme="4" tint="0.79998168889431442"/>
      </top>
      <bottom style="thin">
        <color theme="4" tint="0.79998168889431442"/>
      </bottom>
      <diagonal/>
    </border>
    <border>
      <left style="thin">
        <color theme="4" tint="0.79998168889431442"/>
      </left>
      <right/>
      <top style="thin">
        <color theme="4" tint="0.79998168889431442"/>
      </top>
      <bottom/>
      <diagonal/>
    </border>
    <border>
      <left style="thin">
        <color theme="4" tint="0.79998168889431442"/>
      </left>
      <right/>
      <top/>
      <bottom style="thin">
        <color theme="4" tint="0.79998168889431442"/>
      </bottom>
      <diagonal/>
    </border>
    <border>
      <left style="thin">
        <color theme="4" tint="0.79995117038483843"/>
      </left>
      <right/>
      <top/>
      <bottom/>
      <diagonal/>
    </border>
    <border>
      <left/>
      <right style="thin">
        <color theme="4" tint="0.79995117038483843"/>
      </right>
      <top/>
      <bottom/>
      <diagonal/>
    </border>
    <border>
      <left style="thin">
        <color theme="4" tint="0.79995117038483843"/>
      </left>
      <right/>
      <top/>
      <bottom style="thin">
        <color theme="4" tint="0.79995117038483843"/>
      </bottom>
      <diagonal/>
    </border>
    <border>
      <left/>
      <right style="thin">
        <color theme="4" tint="0.79995117038483843"/>
      </right>
      <top/>
      <bottom style="thin">
        <color theme="4" tint="0.79995117038483843"/>
      </bottom>
      <diagonal/>
    </border>
    <border>
      <left style="thin">
        <color theme="4" tint="0.79992065187536243"/>
      </left>
      <right style="thin">
        <color theme="4" tint="0.79992065187536243"/>
      </right>
      <top style="thin">
        <color theme="4" tint="0.79992065187536243"/>
      </top>
      <bottom style="thin">
        <color theme="4" tint="0.79992065187536243"/>
      </bottom>
      <diagonal/>
    </border>
    <border>
      <left style="thin">
        <color theme="4" tint="0.79995117038483843"/>
      </left>
      <right/>
      <top style="thin">
        <color theme="4" tint="0.79995117038483843"/>
      </top>
      <bottom style="double">
        <color theme="4" tint="0.79992065187536243"/>
      </bottom>
      <diagonal/>
    </border>
    <border>
      <left/>
      <right style="thin">
        <color theme="4" tint="0.79995117038483843"/>
      </right>
      <top style="thin">
        <color theme="4" tint="0.79995117038483843"/>
      </top>
      <bottom style="double">
        <color theme="4" tint="0.79992065187536243"/>
      </bottom>
      <diagonal/>
    </border>
    <border>
      <left style="double">
        <color theme="4" tint="0.79995117038483843"/>
      </left>
      <right/>
      <top style="double">
        <color theme="4" tint="0.79995117038483843"/>
      </top>
      <bottom/>
      <diagonal/>
    </border>
    <border>
      <left/>
      <right/>
      <top style="double">
        <color theme="4" tint="0.79995117038483843"/>
      </top>
      <bottom/>
      <diagonal/>
    </border>
    <border>
      <left/>
      <right style="double">
        <color theme="4" tint="0.79995117038483843"/>
      </right>
      <top style="double">
        <color theme="4" tint="0.79995117038483843"/>
      </top>
      <bottom/>
      <diagonal/>
    </border>
    <border>
      <left style="double">
        <color theme="4" tint="0.79995117038483843"/>
      </left>
      <right/>
      <top/>
      <bottom/>
      <diagonal/>
    </border>
    <border>
      <left/>
      <right style="double">
        <color theme="4" tint="0.79995117038483843"/>
      </right>
      <top/>
      <bottom/>
      <diagonal/>
    </border>
    <border>
      <left style="double">
        <color theme="4" tint="0.79995117038483843"/>
      </left>
      <right/>
      <top/>
      <bottom style="double">
        <color theme="4" tint="0.79995117038483843"/>
      </bottom>
      <diagonal/>
    </border>
    <border>
      <left/>
      <right/>
      <top/>
      <bottom style="double">
        <color theme="4" tint="0.79995117038483843"/>
      </bottom>
      <diagonal/>
    </border>
    <border>
      <left/>
      <right style="double">
        <color theme="4" tint="0.79995117038483843"/>
      </right>
      <top/>
      <bottom style="double">
        <color theme="4" tint="0.79995117038483843"/>
      </bottom>
      <diagonal/>
    </border>
    <border>
      <left style="medium">
        <color rgb="FFC1C3D1"/>
      </left>
      <right style="medium">
        <color rgb="FFC1C3D1"/>
      </right>
      <top style="medium">
        <color rgb="FFC1C3D1"/>
      </top>
      <bottom style="medium">
        <color rgb="FFC1C3D1"/>
      </bottom>
      <diagonal/>
    </border>
    <border>
      <left style="medium">
        <color rgb="FFC1C3D1"/>
      </left>
      <right style="medium">
        <color rgb="FFC1C3D1"/>
      </right>
      <top style="medium">
        <color rgb="FFC1C3D1"/>
      </top>
      <bottom/>
      <diagonal/>
    </border>
    <border>
      <left style="medium">
        <color rgb="FFC1C3D1"/>
      </left>
      <right style="medium">
        <color rgb="FFC1C3D1"/>
      </right>
      <top/>
      <bottom style="medium">
        <color rgb="FFC1C3D1"/>
      </bottom>
      <diagonal/>
    </border>
    <border>
      <left style="medium">
        <color rgb="FFC1C3D1"/>
      </left>
      <right/>
      <top style="medium">
        <color rgb="FFC1C3D1"/>
      </top>
      <bottom style="medium">
        <color rgb="FFC1C3D1"/>
      </bottom>
      <diagonal/>
    </border>
    <border>
      <left/>
      <right/>
      <top style="medium">
        <color rgb="FFC1C3D1"/>
      </top>
      <bottom style="medium">
        <color rgb="FFC1C3D1"/>
      </bottom>
      <diagonal/>
    </border>
    <border>
      <left/>
      <right style="medium">
        <color rgb="FFC1C3D1"/>
      </right>
      <top style="medium">
        <color rgb="FFC1C3D1"/>
      </top>
      <bottom style="medium">
        <color rgb="FFC1C3D1"/>
      </bottom>
      <diagonal/>
    </border>
    <border>
      <left style="medium">
        <color rgb="FFC1C3D1"/>
      </left>
      <right style="medium">
        <color rgb="FFC1C3D1"/>
      </right>
      <top/>
      <bottom/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" fillId="0" borderId="0" applyNumberFormat="0" applyFill="0" applyBorder="0" applyAlignment="0" applyProtection="0"/>
  </cellStyleXfs>
  <cellXfs count="109">
    <xf numFmtId="0" fontId="0" fillId="0" borderId="0" xfId="0"/>
    <xf numFmtId="0" fontId="3" fillId="0" borderId="0" xfId="0" applyFont="1" applyProtection="1">
      <protection hidden="1"/>
    </xf>
    <xf numFmtId="0" fontId="3" fillId="0" borderId="0" xfId="0" applyFont="1"/>
    <xf numFmtId="0" fontId="5" fillId="0" borderId="0" xfId="0" applyFont="1" applyFill="1" applyAlignment="1" applyProtection="1">
      <alignment horizontal="left" vertical="center"/>
      <protection hidden="1"/>
    </xf>
    <xf numFmtId="0" fontId="4" fillId="0" borderId="0" xfId="0" applyFont="1" applyFill="1" applyAlignment="1" applyProtection="1">
      <alignment horizontal="center" vertical="center"/>
      <protection hidden="1"/>
    </xf>
    <xf numFmtId="0" fontId="3" fillId="0" borderId="0" xfId="0" applyFont="1" applyFill="1" applyProtection="1">
      <protection hidden="1"/>
    </xf>
    <xf numFmtId="14" fontId="6" fillId="0" borderId="0" xfId="0" applyNumberFormat="1" applyFont="1" applyFill="1" applyBorder="1" applyAlignment="1" applyProtection="1">
      <alignment horizontal="center"/>
      <protection hidden="1"/>
    </xf>
    <xf numFmtId="0" fontId="4" fillId="0" borderId="0" xfId="0" applyFont="1" applyFill="1" applyBorder="1" applyProtection="1">
      <protection hidden="1"/>
    </xf>
    <xf numFmtId="0" fontId="9" fillId="0" borderId="0" xfId="0" applyFont="1" applyFill="1" applyBorder="1" applyProtection="1">
      <protection hidden="1"/>
    </xf>
    <xf numFmtId="43" fontId="3" fillId="0" borderId="0" xfId="1" applyFont="1" applyFill="1" applyBorder="1" applyAlignment="1" applyProtection="1">
      <alignment horizontal="center"/>
      <protection hidden="1"/>
    </xf>
    <xf numFmtId="0" fontId="3" fillId="0" borderId="0" xfId="0" applyFont="1" applyFill="1" applyBorder="1" applyProtection="1">
      <protection hidden="1"/>
    </xf>
    <xf numFmtId="166" fontId="9" fillId="0" borderId="0" xfId="0" applyNumberFormat="1" applyFont="1" applyFill="1" applyProtection="1">
      <protection hidden="1"/>
    </xf>
    <xf numFmtId="2" fontId="7" fillId="2" borderId="0" xfId="1" applyNumberFormat="1" applyFont="1" applyFill="1" applyBorder="1" applyAlignment="1" applyProtection="1">
      <alignment horizontal="center"/>
      <protection hidden="1"/>
    </xf>
    <xf numFmtId="4" fontId="7" fillId="2" borderId="0" xfId="1" applyNumberFormat="1" applyFont="1" applyFill="1" applyBorder="1" applyAlignment="1" applyProtection="1">
      <alignment horizontal="center"/>
      <protection hidden="1"/>
    </xf>
    <xf numFmtId="0" fontId="4" fillId="2" borderId="0" xfId="0" applyFont="1" applyFill="1" applyBorder="1" applyProtection="1">
      <protection hidden="1"/>
    </xf>
    <xf numFmtId="0" fontId="11" fillId="2" borderId="0" xfId="0" applyFont="1" applyFill="1" applyBorder="1" applyProtection="1">
      <protection hidden="1"/>
    </xf>
    <xf numFmtId="0" fontId="4" fillId="2" borderId="1" xfId="0" applyFont="1" applyFill="1" applyBorder="1" applyProtection="1">
      <protection hidden="1"/>
    </xf>
    <xf numFmtId="0" fontId="5" fillId="0" borderId="7" xfId="0" applyFont="1" applyFill="1" applyBorder="1" applyAlignment="1" applyProtection="1">
      <alignment horizontal="left" vertical="center"/>
      <protection hidden="1"/>
    </xf>
    <xf numFmtId="14" fontId="7" fillId="0" borderId="8" xfId="0" applyNumberFormat="1" applyFont="1" applyFill="1" applyBorder="1" applyProtection="1">
      <protection hidden="1"/>
    </xf>
    <xf numFmtId="0" fontId="4" fillId="2" borderId="7" xfId="0" applyFont="1" applyFill="1" applyBorder="1" applyProtection="1">
      <protection hidden="1"/>
    </xf>
    <xf numFmtId="1" fontId="8" fillId="2" borderId="8" xfId="0" applyNumberFormat="1" applyFont="1" applyFill="1" applyBorder="1" applyAlignment="1" applyProtection="1">
      <alignment horizontal="center"/>
      <protection locked="0" hidden="1"/>
    </xf>
    <xf numFmtId="0" fontId="4" fillId="2" borderId="4" xfId="0" applyFont="1" applyFill="1" applyBorder="1" applyProtection="1">
      <protection hidden="1"/>
    </xf>
    <xf numFmtId="0" fontId="4" fillId="2" borderId="5" xfId="0" applyFont="1" applyFill="1" applyBorder="1" applyProtection="1">
      <protection hidden="1"/>
    </xf>
    <xf numFmtId="1" fontId="8" fillId="2" borderId="6" xfId="0" applyNumberFormat="1" applyFont="1" applyFill="1" applyBorder="1" applyAlignment="1" applyProtection="1">
      <alignment horizontal="center"/>
      <protection locked="0" hidden="1"/>
    </xf>
    <xf numFmtId="0" fontId="4" fillId="2" borderId="2" xfId="0" applyFont="1" applyFill="1" applyBorder="1" applyProtection="1">
      <protection hidden="1"/>
    </xf>
    <xf numFmtId="0" fontId="4" fillId="2" borderId="10" xfId="0" applyFont="1" applyFill="1" applyBorder="1" applyProtection="1">
      <protection hidden="1"/>
    </xf>
    <xf numFmtId="0" fontId="4" fillId="2" borderId="11" xfId="0" applyFont="1" applyFill="1" applyBorder="1" applyProtection="1">
      <protection hidden="1"/>
    </xf>
    <xf numFmtId="14" fontId="4" fillId="3" borderId="9" xfId="0" applyNumberFormat="1" applyFont="1" applyFill="1" applyBorder="1" applyAlignment="1" applyProtection="1">
      <alignment horizontal="center"/>
      <protection locked="0" hidden="1"/>
    </xf>
    <xf numFmtId="0" fontId="4" fillId="2" borderId="9" xfId="0" applyFont="1" applyFill="1" applyBorder="1" applyProtection="1">
      <protection hidden="1"/>
    </xf>
    <xf numFmtId="14" fontId="4" fillId="3" borderId="9" xfId="0" applyNumberFormat="1" applyFont="1" applyFill="1" applyBorder="1" applyProtection="1">
      <protection hidden="1"/>
    </xf>
    <xf numFmtId="14" fontId="6" fillId="3" borderId="9" xfId="0" applyNumberFormat="1" applyFont="1" applyFill="1" applyBorder="1" applyAlignment="1" applyProtection="1">
      <alignment horizontal="center"/>
      <protection locked="0" hidden="1"/>
    </xf>
    <xf numFmtId="0" fontId="3" fillId="3" borderId="9" xfId="0" applyFont="1" applyFill="1" applyBorder="1" applyAlignment="1" applyProtection="1">
      <alignment horizontal="center"/>
      <protection locked="0" hidden="1"/>
    </xf>
    <xf numFmtId="1" fontId="6" fillId="3" borderId="9" xfId="1" applyNumberFormat="1" applyFont="1" applyFill="1" applyBorder="1" applyAlignment="1" applyProtection="1">
      <alignment horizontal="center"/>
      <protection locked="0" hidden="1"/>
    </xf>
    <xf numFmtId="9" fontId="6" fillId="3" borderId="9" xfId="2" applyFont="1" applyFill="1" applyBorder="1" applyAlignment="1" applyProtection="1">
      <alignment horizontal="center"/>
      <protection locked="0" hidden="1"/>
    </xf>
    <xf numFmtId="164" fontId="3" fillId="3" borderId="9" xfId="2" applyNumberFormat="1" applyFont="1" applyFill="1" applyBorder="1" applyAlignment="1" applyProtection="1">
      <alignment horizontal="center"/>
      <protection locked="0" hidden="1"/>
    </xf>
    <xf numFmtId="165" fontId="6" fillId="3" borderId="9" xfId="2" applyNumberFormat="1" applyFont="1" applyFill="1" applyBorder="1" applyAlignment="1" applyProtection="1">
      <alignment horizontal="center"/>
      <protection locked="0" hidden="1"/>
    </xf>
    <xf numFmtId="4" fontId="4" fillId="4" borderId="9" xfId="1" applyNumberFormat="1" applyFont="1" applyFill="1" applyBorder="1" applyAlignment="1" applyProtection="1">
      <alignment horizontal="center"/>
      <protection locked="0" hidden="1"/>
    </xf>
    <xf numFmtId="0" fontId="7" fillId="2" borderId="12" xfId="0" applyFont="1" applyFill="1" applyBorder="1" applyProtection="1">
      <protection hidden="1"/>
    </xf>
    <xf numFmtId="166" fontId="7" fillId="2" borderId="13" xfId="0" applyNumberFormat="1" applyFont="1" applyFill="1" applyBorder="1" applyProtection="1">
      <protection hidden="1"/>
    </xf>
    <xf numFmtId="0" fontId="7" fillId="2" borderId="13" xfId="0" applyFont="1" applyFill="1" applyBorder="1" applyProtection="1">
      <protection hidden="1"/>
    </xf>
    <xf numFmtId="0" fontId="4" fillId="2" borderId="12" xfId="0" applyFont="1" applyFill="1" applyBorder="1" applyProtection="1">
      <protection hidden="1"/>
    </xf>
    <xf numFmtId="166" fontId="4" fillId="2" borderId="13" xfId="0" applyNumberFormat="1" applyFont="1" applyFill="1" applyBorder="1" applyProtection="1">
      <protection hidden="1"/>
    </xf>
    <xf numFmtId="166" fontId="4" fillId="2" borderId="16" xfId="0" applyNumberFormat="1" applyFont="1" applyFill="1" applyBorder="1" applyProtection="1">
      <protection hidden="1"/>
    </xf>
    <xf numFmtId="0" fontId="4" fillId="2" borderId="14" xfId="0" applyFont="1" applyFill="1" applyBorder="1" applyProtection="1">
      <protection hidden="1"/>
    </xf>
    <xf numFmtId="166" fontId="4" fillId="2" borderId="15" xfId="0" applyNumberFormat="1" applyFont="1" applyFill="1" applyBorder="1" applyProtection="1">
      <protection hidden="1"/>
    </xf>
    <xf numFmtId="0" fontId="4" fillId="3" borderId="12" xfId="0" applyFont="1" applyFill="1" applyBorder="1" applyProtection="1">
      <protection hidden="1"/>
    </xf>
    <xf numFmtId="0" fontId="7" fillId="3" borderId="14" xfId="0" applyFont="1" applyFill="1" applyBorder="1" applyProtection="1">
      <protection hidden="1"/>
    </xf>
    <xf numFmtId="43" fontId="7" fillId="3" borderId="15" xfId="0" applyNumberFormat="1" applyFont="1" applyFill="1" applyBorder="1" applyProtection="1">
      <protection hidden="1"/>
    </xf>
    <xf numFmtId="43" fontId="4" fillId="4" borderId="16" xfId="1" applyFont="1" applyFill="1" applyBorder="1" applyAlignment="1" applyProtection="1">
      <alignment horizontal="center"/>
      <protection locked="0" hidden="1"/>
    </xf>
    <xf numFmtId="167" fontId="7" fillId="2" borderId="0" xfId="1" applyNumberFormat="1" applyFont="1" applyFill="1" applyBorder="1" applyAlignment="1" applyProtection="1">
      <alignment horizontal="center"/>
      <protection hidden="1"/>
    </xf>
    <xf numFmtId="0" fontId="4" fillId="5" borderId="17" xfId="0" applyFont="1" applyFill="1" applyBorder="1" applyProtection="1">
      <protection hidden="1"/>
    </xf>
    <xf numFmtId="0" fontId="4" fillId="5" borderId="18" xfId="0" applyFont="1" applyFill="1" applyBorder="1" applyAlignment="1" applyProtection="1">
      <alignment horizontal="center"/>
      <protection hidden="1"/>
    </xf>
    <xf numFmtId="0" fontId="3" fillId="6" borderId="0" xfId="0" applyFont="1" applyFill="1" applyAlignment="1">
      <alignment horizontal="left" vertical="center" wrapText="1"/>
    </xf>
    <xf numFmtId="10" fontId="3" fillId="6" borderId="0" xfId="0" applyNumberFormat="1" applyFont="1" applyFill="1" applyAlignment="1">
      <alignment horizontal="center" vertical="center" wrapText="1"/>
    </xf>
    <xf numFmtId="4" fontId="3" fillId="6" borderId="0" xfId="0" applyNumberFormat="1" applyFont="1" applyFill="1" applyAlignment="1">
      <alignment horizontal="left" vertical="center" wrapText="1"/>
    </xf>
    <xf numFmtId="9" fontId="3" fillId="6" borderId="0" xfId="0" applyNumberFormat="1" applyFont="1" applyFill="1" applyAlignment="1">
      <alignment horizontal="center" vertical="center" wrapText="1"/>
    </xf>
    <xf numFmtId="0" fontId="4" fillId="5" borderId="0" xfId="0" applyFont="1" applyFill="1" applyAlignment="1">
      <alignment horizontal="left" vertical="center" wrapText="1"/>
    </xf>
    <xf numFmtId="4" fontId="3" fillId="0" borderId="0" xfId="0" applyNumberFormat="1" applyFont="1" applyProtection="1">
      <protection hidden="1"/>
    </xf>
    <xf numFmtId="4" fontId="3" fillId="0" borderId="0" xfId="0" applyNumberFormat="1" applyFont="1"/>
    <xf numFmtId="43" fontId="3" fillId="0" borderId="0" xfId="1" applyFont="1"/>
    <xf numFmtId="10" fontId="3" fillId="0" borderId="0" xfId="0" applyNumberFormat="1" applyFont="1"/>
    <xf numFmtId="0" fontId="12" fillId="2" borderId="0" xfId="3" applyFont="1" applyFill="1" applyBorder="1" applyAlignment="1" applyProtection="1">
      <alignment horizontal="left"/>
      <protection hidden="1"/>
    </xf>
    <xf numFmtId="0" fontId="12" fillId="2" borderId="22" xfId="3" applyFont="1" applyFill="1" applyBorder="1" applyAlignment="1" applyProtection="1">
      <alignment horizontal="left"/>
      <protection hidden="1"/>
    </xf>
    <xf numFmtId="0" fontId="12" fillId="2" borderId="23" xfId="3" applyFont="1" applyFill="1" applyBorder="1" applyAlignment="1" applyProtection="1">
      <alignment horizontal="left"/>
      <protection hidden="1"/>
    </xf>
    <xf numFmtId="0" fontId="12" fillId="2" borderId="24" xfId="3" applyFont="1" applyFill="1" applyBorder="1" applyAlignment="1" applyProtection="1">
      <alignment horizontal="left"/>
      <protection hidden="1"/>
    </xf>
    <xf numFmtId="0" fontId="12" fillId="2" borderId="25" xfId="3" applyFont="1" applyFill="1" applyBorder="1" applyAlignment="1" applyProtection="1">
      <alignment horizontal="left"/>
      <protection hidden="1"/>
    </xf>
    <xf numFmtId="0" fontId="12" fillId="2" borderId="26" xfId="3" applyFont="1" applyFill="1" applyBorder="1" applyAlignment="1" applyProtection="1">
      <alignment horizontal="left"/>
      <protection hidden="1"/>
    </xf>
    <xf numFmtId="0" fontId="15" fillId="6" borderId="27" xfId="0" applyFont="1" applyFill="1" applyBorder="1" applyAlignment="1">
      <alignment horizontal="left" vertical="center" wrapText="1" indent="1"/>
    </xf>
    <xf numFmtId="0" fontId="14" fillId="8" borderId="27" xfId="0" applyFont="1" applyFill="1" applyBorder="1" applyAlignment="1">
      <alignment horizontal="left" vertical="center" wrapText="1" indent="1"/>
    </xf>
    <xf numFmtId="10" fontId="14" fillId="8" borderId="27" xfId="0" applyNumberFormat="1" applyFont="1" applyFill="1" applyBorder="1" applyAlignment="1">
      <alignment horizontal="center" vertical="center" wrapText="1"/>
    </xf>
    <xf numFmtId="10" fontId="15" fillId="6" borderId="27" xfId="0" applyNumberFormat="1" applyFont="1" applyFill="1" applyBorder="1" applyAlignment="1">
      <alignment horizontal="center" vertical="center" wrapText="1"/>
    </xf>
    <xf numFmtId="0" fontId="15" fillId="6" borderId="27" xfId="0" applyFont="1" applyFill="1" applyBorder="1" applyAlignment="1">
      <alignment horizontal="center" vertical="center" wrapText="1"/>
    </xf>
    <xf numFmtId="0" fontId="3" fillId="0" borderId="0" xfId="0" applyFont="1" applyAlignment="1">
      <alignment vertical="center" wrapText="1"/>
    </xf>
    <xf numFmtId="0" fontId="16" fillId="0" borderId="0" xfId="0" applyFont="1" applyAlignment="1">
      <alignment vertical="center" wrapText="1"/>
    </xf>
    <xf numFmtId="0" fontId="15" fillId="6" borderId="27" xfId="0" applyFont="1" applyFill="1" applyBorder="1" applyAlignment="1">
      <alignment vertical="center" wrapText="1"/>
    </xf>
    <xf numFmtId="0" fontId="13" fillId="7" borderId="19" xfId="3" applyFont="1" applyFill="1" applyBorder="1" applyAlignment="1" applyProtection="1">
      <alignment horizontal="center" vertical="center"/>
      <protection hidden="1"/>
    </xf>
    <xf numFmtId="0" fontId="13" fillId="7" borderId="20" xfId="3" applyFont="1" applyFill="1" applyBorder="1" applyAlignment="1" applyProtection="1">
      <alignment horizontal="center" vertical="center"/>
      <protection hidden="1"/>
    </xf>
    <xf numFmtId="0" fontId="13" fillId="7" borderId="21" xfId="3" applyFont="1" applyFill="1" applyBorder="1" applyAlignment="1" applyProtection="1">
      <alignment horizontal="center" vertical="center"/>
      <protection hidden="1"/>
    </xf>
    <xf numFmtId="0" fontId="4" fillId="2" borderId="1" xfId="0" applyFont="1" applyFill="1" applyBorder="1" applyAlignment="1" applyProtection="1">
      <alignment horizontal="center" vertical="center"/>
      <protection hidden="1"/>
    </xf>
    <xf numFmtId="0" fontId="4" fillId="2" borderId="2" xfId="0" applyFont="1" applyFill="1" applyBorder="1" applyAlignment="1" applyProtection="1">
      <alignment horizontal="center" vertical="center"/>
      <protection hidden="1"/>
    </xf>
    <xf numFmtId="0" fontId="4" fillId="2" borderId="3" xfId="0" applyFont="1" applyFill="1" applyBorder="1" applyAlignment="1" applyProtection="1">
      <alignment horizontal="center" vertical="center"/>
      <protection hidden="1"/>
    </xf>
    <xf numFmtId="0" fontId="4" fillId="2" borderId="4" xfId="0" applyFont="1" applyFill="1" applyBorder="1" applyAlignment="1" applyProtection="1">
      <alignment horizontal="center" vertical="center"/>
      <protection hidden="1"/>
    </xf>
    <xf numFmtId="0" fontId="4" fillId="2" borderId="5" xfId="0" applyFont="1" applyFill="1" applyBorder="1" applyAlignment="1" applyProtection="1">
      <alignment horizontal="center" vertical="center"/>
      <protection hidden="1"/>
    </xf>
    <xf numFmtId="0" fontId="4" fillId="2" borderId="6" xfId="0" applyFont="1" applyFill="1" applyBorder="1" applyAlignment="1" applyProtection="1">
      <alignment horizontal="center" vertical="center"/>
      <protection hidden="1"/>
    </xf>
    <xf numFmtId="0" fontId="10" fillId="3" borderId="9" xfId="3" applyFont="1" applyFill="1" applyBorder="1" applyAlignment="1" applyProtection="1">
      <alignment horizontal="center"/>
      <protection locked="0" hidden="1"/>
    </xf>
    <xf numFmtId="0" fontId="4" fillId="3" borderId="12" xfId="0" applyFont="1" applyFill="1" applyBorder="1" applyAlignment="1" applyProtection="1">
      <alignment horizontal="left" vertical="top" wrapText="1"/>
      <protection hidden="1"/>
    </xf>
    <xf numFmtId="0" fontId="4" fillId="3" borderId="13" xfId="0" applyFont="1" applyFill="1" applyBorder="1" applyAlignment="1" applyProtection="1">
      <alignment horizontal="left" vertical="top" wrapText="1"/>
      <protection hidden="1"/>
    </xf>
    <xf numFmtId="0" fontId="16" fillId="0" borderId="0" xfId="0" applyFont="1" applyAlignment="1">
      <alignment horizontal="left" vertical="center" wrapText="1"/>
    </xf>
    <xf numFmtId="10" fontId="15" fillId="6" borderId="30" xfId="0" applyNumberFormat="1" applyFont="1" applyFill="1" applyBorder="1" applyAlignment="1">
      <alignment horizontal="center" vertical="center" wrapText="1"/>
    </xf>
    <xf numFmtId="10" fontId="15" fillId="6" borderId="32" xfId="0" applyNumberFormat="1" applyFont="1" applyFill="1" applyBorder="1" applyAlignment="1">
      <alignment horizontal="center" vertical="center" wrapText="1"/>
    </xf>
    <xf numFmtId="0" fontId="15" fillId="6" borderId="28" xfId="0" applyFont="1" applyFill="1" applyBorder="1" applyAlignment="1">
      <alignment horizontal="left" vertical="center" wrapText="1" indent="1"/>
    </xf>
    <xf numFmtId="0" fontId="15" fillId="6" borderId="29" xfId="0" applyFont="1" applyFill="1" applyBorder="1" applyAlignment="1">
      <alignment horizontal="left" vertical="center" wrapText="1" indent="1"/>
    </xf>
    <xf numFmtId="0" fontId="15" fillId="6" borderId="28" xfId="0" applyFont="1" applyFill="1" applyBorder="1" applyAlignment="1">
      <alignment horizontal="center" vertical="center" wrapText="1"/>
    </xf>
    <xf numFmtId="0" fontId="15" fillId="6" borderId="33" xfId="0" applyFont="1" applyFill="1" applyBorder="1" applyAlignment="1">
      <alignment horizontal="center" vertical="center" wrapText="1"/>
    </xf>
    <xf numFmtId="0" fontId="15" fillId="6" borderId="29" xfId="0" applyFont="1" applyFill="1" applyBorder="1" applyAlignment="1">
      <alignment horizontal="center" vertical="center" wrapText="1"/>
    </xf>
    <xf numFmtId="0" fontId="15" fillId="6" borderId="28" xfId="0" applyFont="1" applyFill="1" applyBorder="1" applyAlignment="1">
      <alignment horizontal="left" vertical="center" wrapText="1"/>
    </xf>
    <xf numFmtId="0" fontId="15" fillId="6" borderId="33" xfId="0" applyFont="1" applyFill="1" applyBorder="1" applyAlignment="1">
      <alignment horizontal="left" vertical="center" wrapText="1"/>
    </xf>
    <xf numFmtId="0" fontId="15" fillId="6" borderId="29" xfId="0" applyFont="1" applyFill="1" applyBorder="1" applyAlignment="1">
      <alignment horizontal="left" vertical="center" wrapText="1"/>
    </xf>
    <xf numFmtId="0" fontId="14" fillId="8" borderId="28" xfId="0" applyFont="1" applyFill="1" applyBorder="1" applyAlignment="1">
      <alignment horizontal="left" vertical="center" wrapText="1" indent="1"/>
    </xf>
    <xf numFmtId="0" fontId="14" fillId="8" borderId="29" xfId="0" applyFont="1" applyFill="1" applyBorder="1" applyAlignment="1">
      <alignment horizontal="left" vertical="center" wrapText="1" indent="1"/>
    </xf>
    <xf numFmtId="0" fontId="14" fillId="8" borderId="30" xfId="0" applyFont="1" applyFill="1" applyBorder="1" applyAlignment="1">
      <alignment horizontal="left" vertical="center" wrapText="1" indent="1"/>
    </xf>
    <xf numFmtId="0" fontId="14" fillId="8" borderId="31" xfId="0" applyFont="1" applyFill="1" applyBorder="1" applyAlignment="1">
      <alignment horizontal="left" vertical="center" wrapText="1" indent="1"/>
    </xf>
    <xf numFmtId="0" fontId="14" fillId="8" borderId="32" xfId="0" applyFont="1" applyFill="1" applyBorder="1" applyAlignment="1">
      <alignment horizontal="left" vertical="center" wrapText="1" indent="1"/>
    </xf>
    <xf numFmtId="0" fontId="15" fillId="6" borderId="30" xfId="0" applyFont="1" applyFill="1" applyBorder="1" applyAlignment="1">
      <alignment horizontal="left" vertical="center" wrapText="1" indent="1"/>
    </xf>
    <xf numFmtId="0" fontId="15" fillId="6" borderId="32" xfId="0" applyFont="1" applyFill="1" applyBorder="1" applyAlignment="1">
      <alignment horizontal="left" vertical="center" wrapText="1" indent="1"/>
    </xf>
    <xf numFmtId="0" fontId="15" fillId="6" borderId="33" xfId="0" applyFont="1" applyFill="1" applyBorder="1" applyAlignment="1">
      <alignment horizontal="left" vertical="center" wrapText="1" indent="1"/>
    </xf>
    <xf numFmtId="10" fontId="15" fillId="6" borderId="28" xfId="0" applyNumberFormat="1" applyFont="1" applyFill="1" applyBorder="1" applyAlignment="1">
      <alignment horizontal="center" vertical="center" wrapText="1"/>
    </xf>
    <xf numFmtId="10" fontId="15" fillId="6" borderId="33" xfId="0" applyNumberFormat="1" applyFont="1" applyFill="1" applyBorder="1" applyAlignment="1">
      <alignment horizontal="center" vertical="center" wrapText="1"/>
    </xf>
    <xf numFmtId="10" fontId="15" fillId="6" borderId="29" xfId="0" applyNumberFormat="1" applyFont="1" applyFill="1" applyBorder="1" applyAlignment="1">
      <alignment horizontal="center" vertical="center" wrapText="1"/>
    </xf>
  </cellXfs>
  <cellStyles count="4">
    <cellStyle name="Hipervínculo" xfId="3" builtinId="8"/>
    <cellStyle name="Millares" xfId="1" builtinId="3"/>
    <cellStyle name="Normal" xfId="0" builtinId="0"/>
    <cellStyle name="Porcentaje" xfId="2" builtinId="5"/>
  </cellStyles>
  <dxfs count="17">
    <dxf>
      <font>
        <color auto="1"/>
      </font>
      <numFmt numFmtId="164" formatCode="0.0%"/>
      <fill>
        <patternFill>
          <bgColor theme="2" tint="-9.9948118533890809E-2"/>
        </patternFill>
      </fill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rgb="FF11A99E"/>
        </patternFill>
      </fill>
      <border>
        <left/>
        <top/>
        <bottom style="thin">
          <color auto="1"/>
        </bottom>
        <vertical/>
        <horizontal/>
      </border>
    </dxf>
    <dxf>
      <font>
        <color rgb="FF11A99E"/>
      </font>
    </dxf>
    <dxf>
      <font>
        <color theme="0"/>
      </font>
    </dxf>
    <dxf>
      <font>
        <color theme="2" tint="-9.9948118533890809E-2"/>
      </font>
    </dxf>
    <dxf>
      <font>
        <color rgb="FF11A99E"/>
      </font>
      <fill>
        <patternFill>
          <bgColor rgb="FF11A99E"/>
        </patternFill>
      </fill>
      <border>
        <left/>
        <top/>
        <bottom/>
        <vertical/>
        <horizontal/>
      </border>
    </dxf>
    <dxf>
      <font>
        <color theme="2" tint="-9.9948118533890809E-2"/>
      </font>
    </dxf>
    <dxf>
      <font>
        <color rgb="FF11A99E"/>
      </font>
      <fill>
        <patternFill>
          <bgColor rgb="FF11A99E"/>
        </patternFill>
      </fill>
      <border>
        <left/>
        <top/>
        <bottom/>
        <vertical/>
        <horizontal/>
      </border>
    </dxf>
    <dxf>
      <font>
        <color rgb="FF11A99E"/>
      </font>
      <fill>
        <patternFill>
          <bgColor rgb="FF11A99E"/>
        </patternFill>
      </fill>
      <border>
        <left/>
        <bottom/>
      </border>
    </dxf>
    <dxf>
      <font>
        <color auto="1"/>
      </font>
      <fill>
        <patternFill>
          <bgColor theme="2" tint="-9.9948118533890809E-2"/>
        </patternFill>
      </fill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font>
        <color auto="1"/>
      </font>
      <fill>
        <patternFill>
          <bgColor theme="2" tint="-9.9948118533890809E-2"/>
        </patternFill>
      </fill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font>
        <color rgb="FF11A99E"/>
      </font>
    </dxf>
    <dxf>
      <font>
        <color theme="0"/>
      </font>
    </dxf>
    <dxf>
      <font>
        <color rgb="FF11A99E"/>
      </font>
    </dxf>
    <dxf>
      <font>
        <color theme="0"/>
      </font>
    </dxf>
    <dxf>
      <font>
        <color rgb="FF11A99E"/>
      </font>
    </dxf>
    <dxf>
      <font>
        <color auto="1"/>
      </font>
      <numFmt numFmtId="164" formatCode="0.0%"/>
      <fill>
        <patternFill>
          <bgColor theme="2" tint="-9.9948118533890809E-2"/>
        </patternFill>
      </fill>
      <border>
        <left style="thin">
          <color auto="1"/>
        </left>
        <top style="thin">
          <color auto="1"/>
        </top>
        <vertical/>
        <horizontal/>
      </border>
    </dxf>
  </dxfs>
  <tableStyles count="0" defaultTableStyle="TableStyleMedium2" defaultPivotStyle="PivotStyleLight16"/>
  <colors>
    <mruColors>
      <color rgb="FF008080"/>
      <color rgb="FF00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https://bit.ly/2D6A0wP" TargetMode="External"/><Relationship Id="rId2" Type="http://schemas.openxmlformats.org/officeDocument/2006/relationships/hyperlink" Target="https://www.facebook.com/GrupoLamhi/" TargetMode="External"/><Relationship Id="rId1" Type="http://schemas.openxmlformats.org/officeDocument/2006/relationships/hyperlink" Target="https://www.youtube.com/channel/UCQTt1H24FDClwrvWqxioGsg" TargetMode="External"/><Relationship Id="rId4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115570</xdr:colOff>
      <xdr:row>33</xdr:row>
      <xdr:rowOff>78650</xdr:rowOff>
    </xdr:from>
    <xdr:to>
      <xdr:col>1</xdr:col>
      <xdr:colOff>2499360</xdr:colOff>
      <xdr:row>35</xdr:row>
      <xdr:rowOff>64770</xdr:rowOff>
    </xdr:to>
    <xdr:sp macro="[0]!Piramida" textlink="">
      <xdr:nvSpPr>
        <xdr:cNvPr id="2" name="Rectángulo: esquinas redondeadas 2">
          <a:extLst>
            <a:ext uri="{FF2B5EF4-FFF2-40B4-BE49-F238E27FC236}">
              <a16:creationId xmlns:a16="http://schemas.microsoft.com/office/drawing/2014/main" id="{486EAA9F-36E1-4F42-852B-FB1377F96B42}"/>
            </a:ext>
          </a:extLst>
        </xdr:cNvPr>
        <xdr:cNvSpPr/>
      </xdr:nvSpPr>
      <xdr:spPr>
        <a:xfrm>
          <a:off x="877570" y="4041050"/>
          <a:ext cx="2383790" cy="329020"/>
        </a:xfrm>
        <a:prstGeom prst="roundRect">
          <a:avLst/>
        </a:prstGeom>
        <a:ln>
          <a:noFill/>
        </a:ln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 b="1" baseline="0"/>
            <a:t>SUELDO NETO PRETENDIDO</a:t>
          </a:r>
          <a:endParaRPr lang="es-MX" sz="1100" b="1"/>
        </a:p>
      </xdr:txBody>
    </xdr:sp>
    <xdr:clientData/>
  </xdr:twoCellAnchor>
  <xdr:twoCellAnchor>
    <xdr:from>
      <xdr:col>1</xdr:col>
      <xdr:colOff>333375</xdr:colOff>
      <xdr:row>7</xdr:row>
      <xdr:rowOff>7621</xdr:rowOff>
    </xdr:from>
    <xdr:to>
      <xdr:col>1</xdr:col>
      <xdr:colOff>2480674</xdr:colOff>
      <xdr:row>9</xdr:row>
      <xdr:rowOff>161696</xdr:rowOff>
    </xdr:to>
    <xdr:sp macro="" textlink="">
      <xdr:nvSpPr>
        <xdr:cNvPr id="7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4690C7B-0B10-40B2-A758-AB4F800B4484}"/>
            </a:ext>
          </a:extLst>
        </xdr:cNvPr>
        <xdr:cNvSpPr/>
      </xdr:nvSpPr>
      <xdr:spPr>
        <a:xfrm>
          <a:off x="523875" y="1207771"/>
          <a:ext cx="2147299" cy="496975"/>
        </a:xfrm>
        <a:prstGeom prst="roundRect">
          <a:avLst/>
        </a:prstGeom>
        <a:solidFill>
          <a:srgbClr val="FF0000"/>
        </a:solidFill>
        <a:ln>
          <a:noFill/>
        </a:ln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es-MX" sz="1100" b="1">
              <a:solidFill>
                <a:schemeClr val="bg1"/>
              </a:solidFill>
              <a:latin typeface="Century Gothic" panose="020B0502020202020204" pitchFamily="34" charset="0"/>
            </a:rPr>
            <a:t>SUSCRIBETE A NUESTRO CANA</a:t>
          </a:r>
          <a:r>
            <a:rPr lang="es-MX" sz="1100" b="1" baseline="0">
              <a:solidFill>
                <a:schemeClr val="bg1"/>
              </a:solidFill>
              <a:latin typeface="Century Gothic" panose="020B0502020202020204" pitchFamily="34" charset="0"/>
            </a:rPr>
            <a:t>L DE YOUTUBE</a:t>
          </a:r>
          <a:endParaRPr lang="es-MX" sz="1100" b="1">
            <a:solidFill>
              <a:schemeClr val="bg1"/>
            </a:solidFill>
            <a:latin typeface="Century Gothic" panose="020B0502020202020204" pitchFamily="34" charset="0"/>
          </a:endParaRPr>
        </a:p>
      </xdr:txBody>
    </xdr:sp>
    <xdr:clientData/>
  </xdr:twoCellAnchor>
  <xdr:twoCellAnchor>
    <xdr:from>
      <xdr:col>3</xdr:col>
      <xdr:colOff>1062989</xdr:colOff>
      <xdr:row>7</xdr:row>
      <xdr:rowOff>7620</xdr:rowOff>
    </xdr:from>
    <xdr:to>
      <xdr:col>4</xdr:col>
      <xdr:colOff>419100</xdr:colOff>
      <xdr:row>9</xdr:row>
      <xdr:rowOff>161925</xdr:rowOff>
    </xdr:to>
    <xdr:sp macro="" textlink="">
      <xdr:nvSpPr>
        <xdr:cNvPr id="8" name="Rectángulo: esquinas redondeadas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8E8B2624-20D4-4A62-AC94-3778C99D636F}"/>
            </a:ext>
          </a:extLst>
        </xdr:cNvPr>
        <xdr:cNvSpPr/>
      </xdr:nvSpPr>
      <xdr:spPr>
        <a:xfrm>
          <a:off x="5358764" y="1207770"/>
          <a:ext cx="2146936" cy="497205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 b="1">
              <a:solidFill>
                <a:schemeClr val="bg1"/>
              </a:solidFill>
              <a:latin typeface="Century Gothic" panose="020B0502020202020204" pitchFamily="34" charset="0"/>
            </a:rPr>
            <a:t>SÍGUENOS</a:t>
          </a:r>
          <a:r>
            <a:rPr lang="es-MX" sz="1100" b="1" baseline="0">
              <a:solidFill>
                <a:schemeClr val="bg1"/>
              </a:solidFill>
              <a:latin typeface="Century Gothic" panose="020B0502020202020204" pitchFamily="34" charset="0"/>
            </a:rPr>
            <a:t> EN FACEBOOK</a:t>
          </a:r>
          <a:endParaRPr lang="es-MX" sz="1100" b="1">
            <a:solidFill>
              <a:schemeClr val="bg1"/>
            </a:solidFill>
            <a:latin typeface="Century Gothic" panose="020B0502020202020204" pitchFamily="34" charset="0"/>
          </a:endParaRPr>
        </a:p>
      </xdr:txBody>
    </xdr:sp>
    <xdr:clientData/>
  </xdr:twoCellAnchor>
  <xdr:twoCellAnchor>
    <xdr:from>
      <xdr:col>1</xdr:col>
      <xdr:colOff>916305</xdr:colOff>
      <xdr:row>0</xdr:row>
      <xdr:rowOff>123825</xdr:rowOff>
    </xdr:from>
    <xdr:to>
      <xdr:col>3</xdr:col>
      <xdr:colOff>2545080</xdr:colOff>
      <xdr:row>5</xdr:row>
      <xdr:rowOff>38100</xdr:rowOff>
    </xdr:to>
    <xdr:sp macro="" textlink="">
      <xdr:nvSpPr>
        <xdr:cNvPr id="9" name="Recortar rectángulo de esquina del mismo lado 8">
          <a:hlinkClick xmlns:r="http://schemas.openxmlformats.org/officeDocument/2006/relationships" r:id="rId3"/>
        </xdr:cNvPr>
        <xdr:cNvSpPr/>
      </xdr:nvSpPr>
      <xdr:spPr>
        <a:xfrm>
          <a:off x="1106805" y="123825"/>
          <a:ext cx="5734050" cy="771525"/>
        </a:xfrm>
        <a:prstGeom prst="snip2SameRect">
          <a:avLst/>
        </a:prstGeom>
        <a:solidFill>
          <a:srgbClr val="008080"/>
        </a:solidFill>
        <a:ln>
          <a:solidFill>
            <a:srgbClr val="0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MX" sz="1200" b="0" u="sng">
              <a:solidFill>
                <a:schemeClr val="bg1"/>
              </a:solidFill>
              <a:latin typeface="Century Gothic" panose="020B0502020202020204" pitchFamily="34" charset="0"/>
            </a:rPr>
            <a:t>NO PIERDAS LA OPORTUNIDAD DE ESPECIALIZARTE CON LOS MEJORES</a:t>
          </a:r>
        </a:p>
        <a:p>
          <a:pPr algn="ctr"/>
          <a:r>
            <a:rPr lang="es-MX" sz="1200" b="0" u="sng">
              <a:solidFill>
                <a:schemeClr val="bg1"/>
              </a:solidFill>
              <a:latin typeface="Century Gothic" panose="020B0502020202020204" pitchFamily="34" charset="0"/>
            </a:rPr>
            <a:t>PREGUNTA POR NUESTROS TALLERES:</a:t>
          </a:r>
        </a:p>
        <a:p>
          <a:pPr algn="ctr"/>
          <a:r>
            <a:rPr lang="es-MX" sz="1200" b="1" u="sng">
              <a:solidFill>
                <a:schemeClr val="bg1"/>
              </a:solidFill>
              <a:latin typeface="Century Gothic" panose="020B0502020202020204" pitchFamily="34" charset="0"/>
            </a:rPr>
            <a:t>https://bit.ly/2D6A0wP</a:t>
          </a:r>
        </a:p>
      </xdr:txBody>
    </xdr:sp>
    <xdr:clientData/>
  </xdr:twoCellAnchor>
  <xdr:twoCellAnchor editAs="oneCell">
    <xdr:from>
      <xdr:col>1</xdr:col>
      <xdr:colOff>2852821</xdr:colOff>
      <xdr:row>5</xdr:row>
      <xdr:rowOff>69219</xdr:rowOff>
    </xdr:from>
    <xdr:to>
      <xdr:col>3</xdr:col>
      <xdr:colOff>723899</xdr:colOff>
      <xdr:row>10</xdr:row>
      <xdr:rowOff>0</xdr:rowOff>
    </xdr:to>
    <xdr:pic>
      <xdr:nvPicPr>
        <xdr:cNvPr id="4" name="Imagen 3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3321" y="926469"/>
          <a:ext cx="1976353" cy="66420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s://www.youtube.com/watch?v=FmWqnmnR6TY" TargetMode="External"/><Relationship Id="rId1" Type="http://schemas.openxmlformats.org/officeDocument/2006/relationships/hyperlink" Target="http://www.lamhi.com.mx/" TargetMode="External"/><Relationship Id="rId4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G47"/>
  <sheetViews>
    <sheetView showGridLines="0" tabSelected="1" workbookViewId="0">
      <pane xSplit="1" ySplit="10" topLeftCell="B26" activePane="bottomRight" state="frozen"/>
      <selection pane="topRight" activeCell="B1" sqref="B1"/>
      <selection pane="bottomLeft" activeCell="A11" sqref="A11"/>
      <selection pane="bottomRight" activeCell="C31" sqref="C31"/>
    </sheetView>
  </sheetViews>
  <sheetFormatPr baseColWidth="10" defaultColWidth="0" defaultRowHeight="13.5" zeroHeight="1" x14ac:dyDescent="0.25"/>
  <cols>
    <col min="1" max="1" width="2.85546875" style="2" customWidth="1"/>
    <col min="2" max="2" width="49.42578125" style="2" bestFit="1" customWidth="1"/>
    <col min="3" max="3" width="12.140625" style="2" bestFit="1" customWidth="1"/>
    <col min="4" max="4" width="41.85546875" style="2" bestFit="1" customWidth="1"/>
    <col min="5" max="5" width="12.140625" style="2" bestFit="1" customWidth="1"/>
    <col min="6" max="6" width="5.7109375" style="2" customWidth="1"/>
    <col min="7" max="7" width="17.28515625" style="2" hidden="1" customWidth="1"/>
    <col min="8" max="16384" width="11.42578125" style="2" hidden="1"/>
  </cols>
  <sheetData>
    <row r="1" spans="2:6" x14ac:dyDescent="0.25"/>
    <row r="2" spans="2:6" x14ac:dyDescent="0.25"/>
    <row r="3" spans="2:6" x14ac:dyDescent="0.25"/>
    <row r="4" spans="2:6" x14ac:dyDescent="0.25"/>
    <row r="5" spans="2:6" x14ac:dyDescent="0.25"/>
    <row r="6" spans="2:6" ht="9.75" customHeight="1" x14ac:dyDescent="0.25"/>
    <row r="7" spans="2:6" ht="7.5" customHeight="1" x14ac:dyDescent="0.25"/>
    <row r="8" spans="2:6" x14ac:dyDescent="0.25"/>
    <row r="9" spans="2:6" x14ac:dyDescent="0.25"/>
    <row r="10" spans="2:6" x14ac:dyDescent="0.25"/>
    <row r="11" spans="2:6" ht="6.75" customHeight="1" x14ac:dyDescent="0.25">
      <c r="B11" s="1"/>
      <c r="C11" s="1"/>
      <c r="D11" s="1"/>
      <c r="E11" s="1"/>
      <c r="F11" s="1"/>
    </row>
    <row r="12" spans="2:6" ht="8.25" customHeight="1" x14ac:dyDescent="0.25">
      <c r="B12" s="78" t="s">
        <v>0</v>
      </c>
      <c r="C12" s="79"/>
      <c r="D12" s="79"/>
      <c r="E12" s="80"/>
      <c r="F12" s="1"/>
    </row>
    <row r="13" spans="2:6" ht="11.25" customHeight="1" x14ac:dyDescent="0.25">
      <c r="B13" s="81"/>
      <c r="C13" s="82"/>
      <c r="D13" s="82"/>
      <c r="E13" s="83"/>
      <c r="F13" s="1"/>
    </row>
    <row r="14" spans="2:6" x14ac:dyDescent="0.25">
      <c r="B14" s="3" t="s">
        <v>27</v>
      </c>
      <c r="C14" s="4"/>
      <c r="D14" s="4"/>
      <c r="E14" s="4"/>
      <c r="F14" s="5"/>
    </row>
    <row r="15" spans="2:6" ht="15" x14ac:dyDescent="0.25">
      <c r="B15" s="25" t="s">
        <v>1</v>
      </c>
      <c r="C15" s="84" t="s">
        <v>26</v>
      </c>
      <c r="D15" s="84"/>
      <c r="E15" s="84"/>
      <c r="F15" s="1"/>
    </row>
    <row r="16" spans="2:6" x14ac:dyDescent="0.25">
      <c r="B16" s="26" t="s">
        <v>2</v>
      </c>
      <c r="C16" s="27">
        <v>43789</v>
      </c>
      <c r="D16" s="28" t="s">
        <v>3</v>
      </c>
      <c r="E16" s="29">
        <v>43789</v>
      </c>
      <c r="F16" s="1"/>
    </row>
    <row r="17" spans="2:7" x14ac:dyDescent="0.25">
      <c r="B17" s="17" t="s">
        <v>28</v>
      </c>
      <c r="C17" s="6"/>
      <c r="D17" s="7"/>
      <c r="E17" s="18"/>
      <c r="F17" s="1"/>
    </row>
    <row r="18" spans="2:7" x14ac:dyDescent="0.25">
      <c r="B18" s="16" t="s">
        <v>4</v>
      </c>
      <c r="C18" s="30" t="s">
        <v>5</v>
      </c>
      <c r="D18" s="24" t="s">
        <v>6</v>
      </c>
      <c r="E18" s="32">
        <v>15</v>
      </c>
      <c r="F18" s="1"/>
    </row>
    <row r="19" spans="2:7" x14ac:dyDescent="0.25">
      <c r="B19" s="19" t="s">
        <v>7</v>
      </c>
      <c r="C19" s="31" t="s">
        <v>8</v>
      </c>
      <c r="D19" s="14"/>
      <c r="E19" s="20"/>
      <c r="F19" s="1"/>
    </row>
    <row r="20" spans="2:7" x14ac:dyDescent="0.25">
      <c r="B20" s="19" t="s">
        <v>9</v>
      </c>
      <c r="C20" s="49">
        <v>30.416667</v>
      </c>
      <c r="D20" s="14" t="s">
        <v>10</v>
      </c>
      <c r="E20" s="32">
        <v>6</v>
      </c>
      <c r="F20" s="1"/>
    </row>
    <row r="21" spans="2:7" x14ac:dyDescent="0.25">
      <c r="B21" s="19" t="s">
        <v>11</v>
      </c>
      <c r="C21" s="12">
        <v>84.49</v>
      </c>
      <c r="D21" s="15"/>
      <c r="E21" s="20"/>
      <c r="F21" s="1"/>
    </row>
    <row r="22" spans="2:7" x14ac:dyDescent="0.25">
      <c r="B22" s="19" t="s">
        <v>12</v>
      </c>
      <c r="C22" s="13">
        <f>C25/C20</f>
        <v>1748.1405452812339</v>
      </c>
      <c r="D22" s="14" t="s">
        <v>13</v>
      </c>
      <c r="E22" s="33">
        <v>0.25</v>
      </c>
      <c r="F22" s="1"/>
    </row>
    <row r="23" spans="2:7" x14ac:dyDescent="0.25">
      <c r="B23" s="19" t="s">
        <v>14</v>
      </c>
      <c r="C23" s="13">
        <f>IF(C22*(((E18+(E20*E22))/365)+1)&gt;(C21*25),C21*25,C22*(((E18+(E20*E22))/365)+1))</f>
        <v>1827.1660767802487</v>
      </c>
      <c r="D23" s="15"/>
      <c r="E23" s="20"/>
      <c r="F23" s="1"/>
    </row>
    <row r="24" spans="2:7" x14ac:dyDescent="0.25">
      <c r="B24" s="19" t="s">
        <v>15</v>
      </c>
      <c r="C24" s="35">
        <v>5.4355000000000002E-3</v>
      </c>
      <c r="D24" s="14" t="s">
        <v>16</v>
      </c>
      <c r="E24" s="34">
        <v>0.03</v>
      </c>
      <c r="F24" s="1"/>
    </row>
    <row r="25" spans="2:7" x14ac:dyDescent="0.25">
      <c r="B25" s="21" t="s">
        <v>17</v>
      </c>
      <c r="C25" s="36">
        <v>53172.608835017716</v>
      </c>
      <c r="D25" s="22"/>
      <c r="E25" s="23"/>
      <c r="F25" s="1"/>
    </row>
    <row r="26" spans="2:7" x14ac:dyDescent="0.25">
      <c r="B26" s="8" t="s">
        <v>40</v>
      </c>
      <c r="C26" s="9"/>
      <c r="D26" s="10"/>
      <c r="E26" s="10"/>
      <c r="F26" s="5"/>
    </row>
    <row r="27" spans="2:7" ht="14.25" thickBot="1" x14ac:dyDescent="0.3">
      <c r="B27" s="50" t="s">
        <v>18</v>
      </c>
      <c r="C27" s="51" t="s">
        <v>31</v>
      </c>
      <c r="D27" s="50" t="s">
        <v>19</v>
      </c>
      <c r="E27" s="51" t="s">
        <v>31</v>
      </c>
      <c r="F27" s="1"/>
    </row>
    <row r="28" spans="2:7" ht="14.25" thickTop="1" x14ac:dyDescent="0.25">
      <c r="B28" s="37" t="s">
        <v>25</v>
      </c>
      <c r="C28" s="38">
        <f>+C25</f>
        <v>53172.608835017716</v>
      </c>
      <c r="D28" s="37" t="s">
        <v>20</v>
      </c>
      <c r="E28" s="38">
        <f>((C31-((VLOOKUP(C31,TAB.ISR,1))))*(((VLOOKUP(C31,TAB.ISR,4))))+(((VLOOKUP(C31,TAB.ISR,3)))))-(((VLOOKUP(C31,TAB.SUBSIDIO,3))))</f>
        <v>11661.212650505317</v>
      </c>
      <c r="F28" s="57"/>
      <c r="G28" s="59"/>
    </row>
    <row r="29" spans="2:7" x14ac:dyDescent="0.25">
      <c r="B29" s="37" t="s">
        <v>30</v>
      </c>
      <c r="C29" s="38">
        <v>0</v>
      </c>
      <c r="D29" s="37" t="s">
        <v>21</v>
      </c>
      <c r="E29" s="38">
        <f>((((IF(C23&lt;=(84.49*3),0,(C23-(84.49*3))*(C20)*0.4%))+ROUND(C23*(C20)*0.25%,2))+ROUND(C23*(C20)*0.375%,2))+ROUND(C23*(C20)*0.625%,2))+ROUND(C23*(C20)*1.125%,2)</f>
        <v>1511.396358106525</v>
      </c>
      <c r="F29" s="1"/>
      <c r="G29" s="60"/>
    </row>
    <row r="30" spans="2:7" x14ac:dyDescent="0.25">
      <c r="B30" s="37"/>
      <c r="C30" s="39"/>
      <c r="D30" s="37"/>
      <c r="E30" s="39"/>
      <c r="F30" s="1"/>
    </row>
    <row r="31" spans="2:7" x14ac:dyDescent="0.25">
      <c r="B31" s="40" t="s">
        <v>22</v>
      </c>
      <c r="C31" s="41">
        <f>SUM(C28:C30)</f>
        <v>53172.608835017716</v>
      </c>
      <c r="D31" s="40" t="s">
        <v>23</v>
      </c>
      <c r="E31" s="41">
        <f>+E28+E29</f>
        <v>13172.609008611842</v>
      </c>
      <c r="F31" s="1"/>
      <c r="G31" s="58"/>
    </row>
    <row r="32" spans="2:7" x14ac:dyDescent="0.25">
      <c r="B32" s="40"/>
      <c r="C32" s="41"/>
      <c r="D32" s="40"/>
      <c r="E32" s="41"/>
      <c r="F32" s="1"/>
      <c r="G32" s="58"/>
    </row>
    <row r="33" spans="2:6" x14ac:dyDescent="0.25">
      <c r="B33" s="85" t="s">
        <v>29</v>
      </c>
      <c r="C33" s="86"/>
      <c r="D33" s="40"/>
      <c r="E33" s="41"/>
      <c r="F33" s="1"/>
    </row>
    <row r="34" spans="2:6" x14ac:dyDescent="0.25">
      <c r="B34" s="85"/>
      <c r="C34" s="86"/>
      <c r="D34" s="40"/>
      <c r="E34" s="41"/>
      <c r="F34" s="1"/>
    </row>
    <row r="35" spans="2:6" x14ac:dyDescent="0.25">
      <c r="B35" s="45"/>
      <c r="C35" s="48">
        <v>40000</v>
      </c>
      <c r="D35" s="14" t="s">
        <v>24</v>
      </c>
      <c r="E35" s="42">
        <f>+C31-E31</f>
        <v>39999.999826405874</v>
      </c>
      <c r="F35" s="1"/>
    </row>
    <row r="36" spans="2:6" x14ac:dyDescent="0.25">
      <c r="B36" s="46"/>
      <c r="C36" s="47">
        <v>0</v>
      </c>
      <c r="D36" s="43"/>
      <c r="E36" s="44"/>
      <c r="F36" s="1"/>
    </row>
    <row r="37" spans="2:6" ht="14.25" thickBot="1" x14ac:dyDescent="0.3">
      <c r="B37" s="8"/>
      <c r="C37" s="11"/>
      <c r="D37" s="8"/>
      <c r="E37" s="11"/>
      <c r="F37" s="1"/>
    </row>
    <row r="38" spans="2:6" ht="20.25" customHeight="1" thickTop="1" x14ac:dyDescent="0.25">
      <c r="B38" s="75" t="s">
        <v>41</v>
      </c>
      <c r="C38" s="76"/>
      <c r="D38" s="76"/>
      <c r="E38" s="77"/>
      <c r="F38" s="1"/>
    </row>
    <row r="39" spans="2:6" x14ac:dyDescent="0.25">
      <c r="B39" s="62" t="s">
        <v>42</v>
      </c>
      <c r="C39" s="61"/>
      <c r="D39" s="61"/>
      <c r="E39" s="63"/>
      <c r="F39" s="1"/>
    </row>
    <row r="40" spans="2:6" x14ac:dyDescent="0.25">
      <c r="B40" s="62" t="s">
        <v>44</v>
      </c>
      <c r="C40" s="61"/>
      <c r="D40" s="61"/>
      <c r="E40" s="63"/>
      <c r="F40" s="1"/>
    </row>
    <row r="41" spans="2:6" x14ac:dyDescent="0.25">
      <c r="B41" s="62" t="s">
        <v>80</v>
      </c>
      <c r="C41" s="61"/>
      <c r="D41" s="61"/>
      <c r="E41" s="63"/>
      <c r="F41" s="1"/>
    </row>
    <row r="42" spans="2:6" x14ac:dyDescent="0.25">
      <c r="B42" s="62" t="s">
        <v>45</v>
      </c>
      <c r="C42" s="61"/>
      <c r="D42" s="61"/>
      <c r="E42" s="63"/>
      <c r="F42" s="1"/>
    </row>
    <row r="43" spans="2:6" ht="14.25" thickBot="1" x14ac:dyDescent="0.3">
      <c r="B43" s="64" t="s">
        <v>43</v>
      </c>
      <c r="C43" s="65"/>
      <c r="D43" s="65"/>
      <c r="E43" s="66"/>
      <c r="F43" s="1"/>
    </row>
    <row r="44" spans="2:6" ht="14.25" thickTop="1" x14ac:dyDescent="0.25">
      <c r="B44" s="1"/>
      <c r="C44" s="1"/>
      <c r="D44" s="1"/>
      <c r="E44" s="1"/>
      <c r="F44" s="1"/>
    </row>
    <row r="45" spans="2:6" x14ac:dyDescent="0.25">
      <c r="B45" s="1"/>
      <c r="C45" s="1"/>
      <c r="D45" s="1"/>
      <c r="E45" s="1"/>
      <c r="F45" s="1"/>
    </row>
    <row r="46" spans="2:6" x14ac:dyDescent="0.25">
      <c r="B46" s="1"/>
      <c r="C46" s="1"/>
      <c r="D46" s="1"/>
      <c r="E46" s="1"/>
      <c r="F46" s="1"/>
    </row>
    <row r="47" spans="2:6" x14ac:dyDescent="0.25">
      <c r="B47" s="1"/>
      <c r="C47" s="1"/>
      <c r="D47" s="1"/>
      <c r="E47" s="1"/>
      <c r="F47" s="1"/>
    </row>
  </sheetData>
  <sheetProtection algorithmName="SHA-512" hashValue="kPmHN6V2Rj43LpUqvyW0npEzK+Pe0I6pll4JlqzQLpeTYdTHxDAtlTOzTCLh8K54OLwmJUHEb3SdUtD7XvBmQw==" saltValue="63etj55WSVxClHsKmlCOGQ==" spinCount="100000" sheet="1" objects="1" scenarios="1"/>
  <mergeCells count="4">
    <mergeCell ref="B38:E38"/>
    <mergeCell ref="B12:E13"/>
    <mergeCell ref="C15:E15"/>
    <mergeCell ref="B33:C34"/>
  </mergeCells>
  <conditionalFormatting sqref="E25">
    <cfRule type="expression" dxfId="16" priority="1">
      <formula>$D$23="otro"</formula>
    </cfRule>
  </conditionalFormatting>
  <conditionalFormatting sqref="D25">
    <cfRule type="expression" dxfId="15" priority="17">
      <formula>$D$23&lt;&gt;"otro"</formula>
    </cfRule>
  </conditionalFormatting>
  <conditionalFormatting sqref="D19">
    <cfRule type="expression" dxfId="14" priority="11">
      <formula>$B$17="NO"</formula>
    </cfRule>
    <cfRule type="expression" dxfId="13" priority="16">
      <formula>$D$23&lt;&gt;"otro"</formula>
    </cfRule>
  </conditionalFormatting>
  <conditionalFormatting sqref="D21">
    <cfRule type="expression" dxfId="12" priority="10">
      <formula>$B$17="NO"</formula>
    </cfRule>
    <cfRule type="expression" dxfId="11" priority="15">
      <formula>$D$23&lt;&gt;"otro"</formula>
    </cfRule>
  </conditionalFormatting>
  <conditionalFormatting sqref="E21">
    <cfRule type="expression" dxfId="10" priority="6">
      <formula>$B$17="NO"</formula>
    </cfRule>
  </conditionalFormatting>
  <conditionalFormatting sqref="E19">
    <cfRule type="expression" dxfId="9" priority="8">
      <formula>$B$17="NO"</formula>
    </cfRule>
  </conditionalFormatting>
  <conditionalFormatting sqref="E18">
    <cfRule type="expression" dxfId="8" priority="14">
      <formula>$B$17="NO"</formula>
    </cfRule>
  </conditionalFormatting>
  <conditionalFormatting sqref="E20">
    <cfRule type="expression" dxfId="7" priority="9">
      <formula>$B$17="NO"</formula>
    </cfRule>
    <cfRule type="expression" dxfId="6" priority="13">
      <formula>$B$17="NO"</formula>
    </cfRule>
  </conditionalFormatting>
  <conditionalFormatting sqref="E22">
    <cfRule type="expression" dxfId="5" priority="7">
      <formula>$B$17="NO"</formula>
    </cfRule>
    <cfRule type="expression" dxfId="4" priority="12">
      <formula>$B$17="NO"</formula>
    </cfRule>
  </conditionalFormatting>
  <conditionalFormatting sqref="D23">
    <cfRule type="expression" dxfId="3" priority="4">
      <formula>$B$17="NO"</formula>
    </cfRule>
    <cfRule type="expression" dxfId="2" priority="5">
      <formula>$D$23&lt;&gt;"otro"</formula>
    </cfRule>
  </conditionalFormatting>
  <conditionalFormatting sqref="E24">
    <cfRule type="expression" dxfId="1" priority="3">
      <formula>$D$23="otro"</formula>
    </cfRule>
  </conditionalFormatting>
  <conditionalFormatting sqref="E23">
    <cfRule type="expression" dxfId="0" priority="2">
      <formula>$B$17="no"</formula>
    </cfRule>
  </conditionalFormatting>
  <dataValidations count="6">
    <dataValidation type="decimal" allowBlank="1" showInputMessage="1" showErrorMessage="1" error="NO PUEDE SER MENOR AL MINIMO DE LEY" sqref="E23">
      <formula1>0.25</formula1>
      <formula2>999999999</formula2>
    </dataValidation>
    <dataValidation type="whole" allowBlank="1" showInputMessage="1" showErrorMessage="1" error="NO PUEDE SER MENOR AL MINIMO DE LEY" sqref="E21">
      <formula1>6</formula1>
      <formula2>99999999</formula2>
    </dataValidation>
    <dataValidation type="whole" allowBlank="1" showInputMessage="1" showErrorMessage="1" error="NO PUEDE SER MENOR AL MINIMO DE LEY" sqref="E19">
      <formula1>15</formula1>
      <formula2>9999999999</formula2>
    </dataValidation>
    <dataValidation type="list" allowBlank="1" showInputMessage="1" showErrorMessage="1" sqref="E24">
      <formula1>$J$13:$J$16</formula1>
    </dataValidation>
    <dataValidation type="list" allowBlank="1" showInputMessage="1" showErrorMessage="1" sqref="C18">
      <formula1>$I$11:$I$11</formula1>
    </dataValidation>
    <dataValidation type="list" allowBlank="1" showInputMessage="1" showErrorMessage="1" sqref="C19">
      <formula1>#REF!</formula1>
    </dataValidation>
  </dataValidations>
  <hyperlinks>
    <hyperlink ref="C15:E15" r:id="rId1" display="Propiedad de Grupo Lamhi"/>
    <hyperlink ref="B38:E38" r:id="rId2" display="Te recomendamos que veas el siguiente video para comprender como afectan las vacaciones al costo de emplear a un trabajador"/>
  </hyperlinks>
  <pageMargins left="0.7" right="0.7" top="0.75" bottom="0.75" header="0.3" footer="0.3"/>
  <pageSetup paperSize="9" orientation="portrait" horizontalDpi="4294967295" verticalDpi="4294967295" r:id="rId3"/>
  <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W24"/>
  <sheetViews>
    <sheetView showGridLines="0" topLeftCell="Y1" workbookViewId="0">
      <selection activeCell="Y1" sqref="Y1"/>
    </sheetView>
  </sheetViews>
  <sheetFormatPr baseColWidth="10" defaultRowHeight="13.5" x14ac:dyDescent="0.25"/>
  <cols>
    <col min="1" max="1" width="3.140625" style="2" hidden="1" customWidth="1"/>
    <col min="2" max="2" width="17.85546875" style="2" hidden="1" customWidth="1"/>
    <col min="3" max="3" width="17.5703125" style="2" hidden="1" customWidth="1"/>
    <col min="4" max="4" width="0" style="2" hidden="1" customWidth="1"/>
    <col min="5" max="5" width="21.7109375" style="2" hidden="1" customWidth="1"/>
    <col min="6" max="6" width="0" style="2" hidden="1" customWidth="1"/>
    <col min="7" max="7" width="17.85546875" style="2" hidden="1" customWidth="1"/>
    <col min="8" max="8" width="20.42578125" style="2" hidden="1" customWidth="1"/>
    <col min="9" max="9" width="26.140625" style="2" hidden="1" customWidth="1"/>
    <col min="10" max="10" width="0" style="2" hidden="1" customWidth="1"/>
    <col min="11" max="11" width="30.28515625" style="2" hidden="1" customWidth="1"/>
    <col min="12" max="12" width="28.85546875" style="2" hidden="1" customWidth="1"/>
    <col min="13" max="13" width="36.140625" style="2" hidden="1" customWidth="1"/>
    <col min="14" max="14" width="0" style="2" hidden="1" customWidth="1"/>
    <col min="15" max="15" width="12.28515625" style="2" hidden="1" customWidth="1"/>
    <col min="16" max="16" width="20.28515625" style="2" hidden="1" customWidth="1"/>
    <col min="17" max="17" width="23.7109375" style="2" hidden="1" customWidth="1"/>
    <col min="18" max="24" width="0" style="2" hidden="1" customWidth="1"/>
    <col min="25" max="16384" width="11.42578125" style="2"/>
  </cols>
  <sheetData>
    <row r="1" spans="2:23" ht="14.25" thickBot="1" x14ac:dyDescent="0.3"/>
    <row r="2" spans="2:23" ht="26.25" thickBot="1" x14ac:dyDescent="0.3">
      <c r="B2" s="56" t="s">
        <v>32</v>
      </c>
      <c r="C2" s="56" t="s">
        <v>33</v>
      </c>
      <c r="D2" s="56" t="s">
        <v>34</v>
      </c>
      <c r="E2" s="56" t="s">
        <v>35</v>
      </c>
      <c r="G2" s="56" t="s">
        <v>37</v>
      </c>
      <c r="H2" s="56" t="s">
        <v>38</v>
      </c>
      <c r="I2" s="56" t="s">
        <v>39</v>
      </c>
      <c r="K2" s="98" t="s">
        <v>46</v>
      </c>
      <c r="L2" s="98" t="s">
        <v>47</v>
      </c>
      <c r="M2" s="100" t="s">
        <v>48</v>
      </c>
      <c r="N2" s="101"/>
      <c r="O2" s="101"/>
      <c r="P2" s="102"/>
      <c r="Q2" s="98" t="s">
        <v>49</v>
      </c>
    </row>
    <row r="3" spans="2:23" ht="14.25" thickBot="1" x14ac:dyDescent="0.3">
      <c r="B3" s="52">
        <v>0.01</v>
      </c>
      <c r="C3" s="52">
        <v>578.52</v>
      </c>
      <c r="D3" s="52">
        <v>0</v>
      </c>
      <c r="E3" s="53">
        <v>1.9199999999999998E-2</v>
      </c>
      <c r="G3" s="52">
        <v>0.01</v>
      </c>
      <c r="H3" s="54">
        <v>1768.96</v>
      </c>
      <c r="I3" s="52">
        <v>407.02</v>
      </c>
      <c r="K3" s="99"/>
      <c r="L3" s="99"/>
      <c r="M3" s="103" t="s">
        <v>50</v>
      </c>
      <c r="N3" s="104"/>
      <c r="O3" s="67" t="s">
        <v>51</v>
      </c>
      <c r="P3" s="67" t="s">
        <v>52</v>
      </c>
      <c r="Q3" s="99"/>
    </row>
    <row r="4" spans="2:23" ht="26.25" thickBot="1" x14ac:dyDescent="0.3">
      <c r="B4" s="52">
        <v>578.53</v>
      </c>
      <c r="C4" s="54">
        <v>4910.18</v>
      </c>
      <c r="D4" s="52">
        <v>11.11</v>
      </c>
      <c r="E4" s="53">
        <v>6.4000000000000001E-2</v>
      </c>
      <c r="G4" s="54">
        <v>1768.97</v>
      </c>
      <c r="H4" s="54">
        <v>2653.38</v>
      </c>
      <c r="I4" s="52">
        <v>406.83</v>
      </c>
      <c r="K4" s="68" t="s">
        <v>53</v>
      </c>
      <c r="L4" s="68" t="s">
        <v>54</v>
      </c>
      <c r="M4" s="100" t="s">
        <v>55</v>
      </c>
      <c r="N4" s="102"/>
      <c r="O4" s="69">
        <v>0</v>
      </c>
      <c r="P4" s="68" t="s">
        <v>56</v>
      </c>
      <c r="Q4" s="68" t="s">
        <v>57</v>
      </c>
    </row>
    <row r="5" spans="2:23" x14ac:dyDescent="0.25">
      <c r="B5" s="54">
        <v>4910.1899999999996</v>
      </c>
      <c r="C5" s="54">
        <v>8629.2000000000007</v>
      </c>
      <c r="D5" s="52">
        <v>288.33</v>
      </c>
      <c r="E5" s="53">
        <v>0.10879999999999999</v>
      </c>
      <c r="G5" s="54">
        <v>2653.39</v>
      </c>
      <c r="H5" s="54">
        <v>3472.84</v>
      </c>
      <c r="I5" s="52">
        <v>406.62</v>
      </c>
      <c r="K5" s="90" t="s">
        <v>58</v>
      </c>
      <c r="L5" s="90" t="s">
        <v>59</v>
      </c>
      <c r="M5" s="95" t="s">
        <v>79</v>
      </c>
      <c r="N5" s="106">
        <v>0.20399999999999999</v>
      </c>
      <c r="O5" s="106">
        <v>0</v>
      </c>
      <c r="P5" s="106">
        <v>0.20399999999999999</v>
      </c>
      <c r="Q5" s="92" t="s">
        <v>60</v>
      </c>
    </row>
    <row r="6" spans="2:23" x14ac:dyDescent="0.25">
      <c r="B6" s="54">
        <v>8629.2099999999991</v>
      </c>
      <c r="C6" s="54">
        <v>10031.07</v>
      </c>
      <c r="D6" s="52">
        <v>692.96</v>
      </c>
      <c r="E6" s="55">
        <v>0.16</v>
      </c>
      <c r="G6" s="54">
        <v>3472.85</v>
      </c>
      <c r="H6" s="54">
        <v>3537.87</v>
      </c>
      <c r="I6" s="52">
        <v>392.77</v>
      </c>
      <c r="K6" s="105"/>
      <c r="L6" s="105"/>
      <c r="M6" s="96"/>
      <c r="N6" s="107"/>
      <c r="O6" s="107"/>
      <c r="P6" s="107"/>
      <c r="Q6" s="93"/>
    </row>
    <row r="7" spans="2:23" x14ac:dyDescent="0.25">
      <c r="B7" s="54">
        <v>10031.08</v>
      </c>
      <c r="C7" s="54">
        <v>12009.94</v>
      </c>
      <c r="D7" s="52">
        <v>917.26</v>
      </c>
      <c r="E7" s="53">
        <v>0.1792</v>
      </c>
      <c r="G7" s="54">
        <v>3537.88</v>
      </c>
      <c r="H7" s="54">
        <v>4446.1499999999996</v>
      </c>
      <c r="I7" s="52">
        <v>382.46</v>
      </c>
      <c r="K7" s="105"/>
      <c r="L7" s="105"/>
      <c r="M7" s="96"/>
      <c r="N7" s="107"/>
      <c r="O7" s="107"/>
      <c r="P7" s="107"/>
      <c r="Q7" s="93"/>
    </row>
    <row r="8" spans="2:23" ht="14.25" thickBot="1" x14ac:dyDescent="0.3">
      <c r="B8" s="54">
        <v>12009.95</v>
      </c>
      <c r="C8" s="54">
        <v>24222.31</v>
      </c>
      <c r="D8" s="54">
        <v>1271.8699999999999</v>
      </c>
      <c r="E8" s="53">
        <v>0.21360000000000001</v>
      </c>
      <c r="G8" s="54">
        <v>4446.16</v>
      </c>
      <c r="H8" s="54">
        <v>4717.18</v>
      </c>
      <c r="I8" s="52">
        <v>354.23</v>
      </c>
      <c r="K8" s="105"/>
      <c r="L8" s="105"/>
      <c r="M8" s="97"/>
      <c r="N8" s="108"/>
      <c r="O8" s="108"/>
      <c r="P8" s="108"/>
      <c r="Q8" s="94"/>
    </row>
    <row r="9" spans="2:23" ht="27.75" thickBot="1" x14ac:dyDescent="0.3">
      <c r="B9" s="54">
        <v>24222.32</v>
      </c>
      <c r="C9" s="54">
        <v>38177.69</v>
      </c>
      <c r="D9" s="54">
        <v>3880.44</v>
      </c>
      <c r="E9" s="53">
        <v>0.23519999999999999</v>
      </c>
      <c r="G9" s="54">
        <v>4717.1899999999996</v>
      </c>
      <c r="H9" s="54">
        <v>5335.42</v>
      </c>
      <c r="I9" s="52">
        <v>324.87</v>
      </c>
      <c r="K9" s="105"/>
      <c r="L9" s="91"/>
      <c r="M9" s="74" t="s">
        <v>77</v>
      </c>
      <c r="N9" s="70">
        <v>1.0999999999999999E-2</v>
      </c>
      <c r="O9" s="70">
        <v>4.0000000000000001E-3</v>
      </c>
      <c r="P9" s="70">
        <v>1.4999999999999999E-2</v>
      </c>
      <c r="Q9" s="67" t="s">
        <v>78</v>
      </c>
    </row>
    <row r="10" spans="2:23" ht="27.75" thickBot="1" x14ac:dyDescent="0.3">
      <c r="B10" s="54">
        <v>38177.699999999997</v>
      </c>
      <c r="C10" s="54">
        <v>72887.5</v>
      </c>
      <c r="D10" s="54">
        <v>7162.74</v>
      </c>
      <c r="E10" s="55">
        <v>0.3</v>
      </c>
      <c r="G10" s="54">
        <v>5335.43</v>
      </c>
      <c r="H10" s="54">
        <v>6224.67</v>
      </c>
      <c r="I10" s="52">
        <v>294.63</v>
      </c>
      <c r="K10" s="105"/>
      <c r="L10" s="67" t="s">
        <v>61</v>
      </c>
      <c r="M10" s="88">
        <v>1.0500000000000001E-2</v>
      </c>
      <c r="N10" s="89"/>
      <c r="O10" s="70">
        <v>3.7499999999999999E-3</v>
      </c>
      <c r="P10" s="70">
        <v>1.4250000000000001E-2</v>
      </c>
      <c r="Q10" s="71" t="s">
        <v>62</v>
      </c>
    </row>
    <row r="11" spans="2:23" ht="14.25" thickBot="1" x14ac:dyDescent="0.3">
      <c r="B11" s="54">
        <v>72887.509999999995</v>
      </c>
      <c r="C11" s="54">
        <v>97183.33</v>
      </c>
      <c r="D11" s="54">
        <v>17575.689999999999</v>
      </c>
      <c r="E11" s="55">
        <v>0.32</v>
      </c>
      <c r="G11" s="54">
        <v>6224.68</v>
      </c>
      <c r="H11" s="54">
        <v>7113.9</v>
      </c>
      <c r="I11" s="52">
        <v>253.54</v>
      </c>
      <c r="K11" s="91"/>
      <c r="L11" s="67" t="s">
        <v>63</v>
      </c>
      <c r="M11" s="88">
        <v>7.0000000000000001E-3</v>
      </c>
      <c r="N11" s="89"/>
      <c r="O11" s="70">
        <v>2.5000000000000001E-3</v>
      </c>
      <c r="P11" s="70">
        <v>9.4999999999999998E-3</v>
      </c>
      <c r="Q11" s="71" t="s">
        <v>62</v>
      </c>
    </row>
    <row r="12" spans="2:23" ht="14.25" thickBot="1" x14ac:dyDescent="0.3">
      <c r="B12" s="54">
        <v>97183.34</v>
      </c>
      <c r="C12" s="54">
        <v>291550</v>
      </c>
      <c r="D12" s="54">
        <v>25350.35</v>
      </c>
      <c r="E12" s="55">
        <v>0.34</v>
      </c>
      <c r="G12" s="54">
        <v>7113.91</v>
      </c>
      <c r="H12" s="54">
        <v>7382.33</v>
      </c>
      <c r="I12" s="52">
        <v>217.61</v>
      </c>
      <c r="K12" s="67" t="s">
        <v>64</v>
      </c>
      <c r="L12" s="67" t="s">
        <v>54</v>
      </c>
      <c r="M12" s="88">
        <v>1.7500000000000002E-2</v>
      </c>
      <c r="N12" s="89"/>
      <c r="O12" s="70">
        <v>6.2500000000000003E-3</v>
      </c>
      <c r="P12" s="70">
        <v>2.375E-2</v>
      </c>
      <c r="Q12" s="71" t="s">
        <v>62</v>
      </c>
    </row>
    <row r="13" spans="2:23" ht="14.25" thickBot="1" x14ac:dyDescent="0.3">
      <c r="B13" s="54">
        <v>291550.01</v>
      </c>
      <c r="C13" s="52" t="s">
        <v>36</v>
      </c>
      <c r="D13" s="54">
        <v>91435.02</v>
      </c>
      <c r="E13" s="55">
        <v>0.35</v>
      </c>
      <c r="G13" s="54">
        <v>7382.34</v>
      </c>
      <c r="H13" s="52" t="s">
        <v>36</v>
      </c>
      <c r="I13" s="52">
        <v>0</v>
      </c>
      <c r="K13" s="90" t="s">
        <v>65</v>
      </c>
      <c r="L13" s="67" t="s">
        <v>66</v>
      </c>
      <c r="M13" s="88">
        <v>0.02</v>
      </c>
      <c r="N13" s="89"/>
      <c r="O13" s="70">
        <v>0</v>
      </c>
      <c r="P13" s="70">
        <v>0.02</v>
      </c>
      <c r="Q13" s="71" t="s">
        <v>62</v>
      </c>
      <c r="S13" s="2">
        <v>107.32</v>
      </c>
      <c r="T13" s="2">
        <v>62</v>
      </c>
      <c r="U13" s="59">
        <f>+S13*T13</f>
        <v>6653.8399999999992</v>
      </c>
    </row>
    <row r="14" spans="2:23" ht="26.25" customHeight="1" thickBot="1" x14ac:dyDescent="0.3">
      <c r="K14" s="91"/>
      <c r="L14" s="67" t="s">
        <v>67</v>
      </c>
      <c r="M14" s="88">
        <v>3.15E-2</v>
      </c>
      <c r="N14" s="89"/>
      <c r="O14" s="70">
        <v>1.125E-2</v>
      </c>
      <c r="P14" s="70">
        <v>4.2750000000000003E-2</v>
      </c>
      <c r="Q14" s="71" t="s">
        <v>62</v>
      </c>
      <c r="U14" s="59">
        <f>+U13*P13</f>
        <v>133.07679999999999</v>
      </c>
      <c r="V14" s="59">
        <f>+$U$13*O14</f>
        <v>74.855699999999985</v>
      </c>
      <c r="W14" s="59">
        <f>+$U$13*M14</f>
        <v>209.59595999999999</v>
      </c>
    </row>
    <row r="15" spans="2:23" ht="27.75" thickBot="1" x14ac:dyDescent="0.3">
      <c r="K15" s="67" t="s">
        <v>68</v>
      </c>
      <c r="L15" s="67" t="s">
        <v>59</v>
      </c>
      <c r="M15" s="88">
        <v>0.01</v>
      </c>
      <c r="N15" s="89"/>
      <c r="O15" s="70">
        <v>0</v>
      </c>
      <c r="P15" s="70">
        <v>0.01</v>
      </c>
      <c r="Q15" s="71" t="s">
        <v>62</v>
      </c>
    </row>
    <row r="16" spans="2:23" ht="27.75" thickBot="1" x14ac:dyDescent="0.3">
      <c r="K16" s="67" t="s">
        <v>69</v>
      </c>
      <c r="L16" s="67" t="s">
        <v>70</v>
      </c>
      <c r="M16" s="88">
        <v>0.05</v>
      </c>
      <c r="N16" s="89"/>
      <c r="O16" s="70">
        <v>0</v>
      </c>
      <c r="P16" s="70">
        <v>0.05</v>
      </c>
      <c r="Q16" s="67" t="s">
        <v>71</v>
      </c>
    </row>
    <row r="18" spans="11:17" x14ac:dyDescent="0.25">
      <c r="K18" s="72"/>
    </row>
    <row r="19" spans="11:17" x14ac:dyDescent="0.25">
      <c r="K19" s="73" t="s">
        <v>72</v>
      </c>
    </row>
    <row r="21" spans="11:17" ht="51.75" customHeight="1" x14ac:dyDescent="0.25">
      <c r="K21" s="87" t="s">
        <v>73</v>
      </c>
      <c r="L21" s="87"/>
      <c r="M21" s="87"/>
      <c r="N21" s="87"/>
      <c r="O21" s="87"/>
      <c r="P21" s="87"/>
      <c r="Q21" s="87"/>
    </row>
    <row r="22" spans="11:17" ht="30" customHeight="1" x14ac:dyDescent="0.25">
      <c r="K22" s="87" t="s">
        <v>74</v>
      </c>
      <c r="L22" s="87"/>
      <c r="M22" s="87"/>
      <c r="N22" s="87"/>
      <c r="O22" s="87"/>
      <c r="P22" s="87"/>
      <c r="Q22" s="87"/>
    </row>
    <row r="23" spans="11:17" ht="54.75" customHeight="1" x14ac:dyDescent="0.25">
      <c r="K23" s="87" t="s">
        <v>75</v>
      </c>
      <c r="L23" s="87"/>
      <c r="M23" s="87"/>
      <c r="N23" s="87"/>
      <c r="O23" s="87"/>
      <c r="P23" s="87"/>
      <c r="Q23" s="87"/>
    </row>
    <row r="24" spans="11:17" ht="40.5" customHeight="1" x14ac:dyDescent="0.25">
      <c r="K24" s="87" t="s">
        <v>76</v>
      </c>
      <c r="L24" s="87"/>
      <c r="M24" s="87"/>
      <c r="N24" s="87"/>
      <c r="O24" s="87"/>
      <c r="P24" s="87"/>
      <c r="Q24" s="87"/>
    </row>
  </sheetData>
  <sheetProtection algorithmName="SHA-512" hashValue="DJYY7LXeEdeNyoreTSEl+2bzaxjX+dmJ8hgPkj2hjm9qrxrxBOl7tV+e1kOsaZAsZaGee4u//fnRcd6crpUF/w==" saltValue="8SkKooTo1BrZS/csxkvUIw==" spinCount="100000" sheet="1" objects="1" scenarios="1"/>
  <mergeCells count="25">
    <mergeCell ref="Q5:Q8"/>
    <mergeCell ref="M10:N10"/>
    <mergeCell ref="M11:N11"/>
    <mergeCell ref="M5:M8"/>
    <mergeCell ref="K2:K3"/>
    <mergeCell ref="L2:L3"/>
    <mergeCell ref="M2:P2"/>
    <mergeCell ref="Q2:Q3"/>
    <mergeCell ref="M3:N3"/>
    <mergeCell ref="M4:N4"/>
    <mergeCell ref="K5:K11"/>
    <mergeCell ref="L5:L9"/>
    <mergeCell ref="N5:N8"/>
    <mergeCell ref="O5:O8"/>
    <mergeCell ref="P5:P8"/>
    <mergeCell ref="K21:Q21"/>
    <mergeCell ref="K22:Q22"/>
    <mergeCell ref="K23:Q23"/>
    <mergeCell ref="K24:Q24"/>
    <mergeCell ref="M12:N12"/>
    <mergeCell ref="K13:K14"/>
    <mergeCell ref="M13:N13"/>
    <mergeCell ref="M14:N14"/>
    <mergeCell ref="M15:N15"/>
    <mergeCell ref="M16:N16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2</vt:i4>
      </vt:variant>
    </vt:vector>
  </HeadingPairs>
  <TitlesOfParts>
    <vt:vector size="4" baseType="lpstr">
      <vt:lpstr>Cálculadora</vt:lpstr>
      <vt:lpstr>TablaISR</vt:lpstr>
      <vt:lpstr>TAB.ISR</vt:lpstr>
      <vt:lpstr>TAB.SUBSIDIO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Mario Sánchez</dc:creator>
  <cp:lastModifiedBy>Mario Sánchez</cp:lastModifiedBy>
  <dcterms:created xsi:type="dcterms:W3CDTF">2019-11-20T05:22:44Z</dcterms:created>
  <dcterms:modified xsi:type="dcterms:W3CDTF">2019-12-06T23:13:20Z</dcterms:modified>
</cp:coreProperties>
</file>